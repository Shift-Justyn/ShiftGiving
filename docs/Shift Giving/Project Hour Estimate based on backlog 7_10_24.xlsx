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ira Export 071024" sheetId="1" r:id="rId5"/>
    <sheet state="visible" name="Pivot Table 3" sheetId="2" r:id="rId6"/>
    <sheet state="visible" name="Pivot Table 1" sheetId="3" r:id="rId7"/>
    <sheet state="visible" name="Summary" sheetId="4" r:id="rId8"/>
  </sheets>
  <definedNames/>
  <calcPr/>
  <pivotCaches>
    <pivotCache cacheId="0" r:id="rId9"/>
    <pivotCache cacheId="1" r:id="rId10"/>
  </pivotCaches>
</workbook>
</file>

<file path=xl/sharedStrings.xml><?xml version="1.0" encoding="utf-8"?>
<sst xmlns="http://schemas.openxmlformats.org/spreadsheetml/2006/main" count="1166" uniqueCount="463">
  <si>
    <t>Issue Type</t>
  </si>
  <si>
    <t>Issue key</t>
  </si>
  <si>
    <t>Issue id</t>
  </si>
  <si>
    <t>Summary</t>
  </si>
  <si>
    <t>Assignee</t>
  </si>
  <si>
    <t>Assignee Id</t>
  </si>
  <si>
    <t>Status</t>
  </si>
  <si>
    <t>Sprint</t>
  </si>
  <si>
    <t>Status Category Changed</t>
  </si>
  <si>
    <t>Hours</t>
  </si>
  <si>
    <t>Description</t>
  </si>
  <si>
    <t>Parent</t>
  </si>
  <si>
    <t>Parent summary</t>
  </si>
  <si>
    <t>Task</t>
  </si>
  <si>
    <t>GIV-158</t>
  </si>
  <si>
    <t>As a donor user, I want to be able to see all campaigns</t>
  </si>
  <si>
    <t>To Do</t>
  </si>
  <si>
    <t>GIV Sprint 7</t>
  </si>
  <si>
    <t>##########</t>
  </si>
  <si>
    <t>Browse Campaigns</t>
  </si>
  <si>
    <t>GIV-157</t>
  </si>
  <si>
    <t>As a donor user, I want to be able to see all campaigns of my organizations</t>
  </si>
  <si>
    <t>User Subscriptions</t>
  </si>
  <si>
    <t>GIV-156</t>
  </si>
  <si>
    <t>As a donor user, I want to see a feed of campaigns and new posts on my home page</t>
  </si>
  <si>
    <t>!image-20240710-154220.png|width=297,height=625,alt="image-20240710-154220.png"!</t>
  </si>
  <si>
    <t>User Mgmt/Profile</t>
  </si>
  <si>
    <t>GIV-155</t>
  </si>
  <si>
    <t>As an org user, I want to manage my account</t>
  </si>
  <si>
    <t>GIV Sprint 8</t>
  </si>
  <si>
    <t>Org Mgmt/Profile</t>
  </si>
  <si>
    <t>GIV-154</t>
  </si>
  <si>
    <t>Production Environment Setup</t>
  </si>
  <si>
    <t>Giv Sprint 13</t>
  </si>
  <si>
    <t>Prod environment</t>
  </si>
  <si>
    <t>GIV-153</t>
  </si>
  <si>
    <t>As an org user, I want to be able to view my posts for a campaign</t>
  </si>
  <si>
    <t>GIV Sprint 3</t>
  </si>
  <si>
    <t>!image-20240710-153127.png|width=921,height=679,alt="image-20240710-153127.png"!
 *Assumptions*
 # We aren‚Äôt editing posts</t>
  </si>
  <si>
    <t>Manage Campaign</t>
  </si>
  <si>
    <t>GIV-152</t>
  </si>
  <si>
    <t>SMS Notifications Worker</t>
  </si>
  <si>
    <t>GIV Sprint 6</t>
  </si>
  <si>
    <t>This will be a worker that receives SMS notifications and sends them out via twilio or something</t>
  </si>
  <si>
    <t>GIV-151</t>
  </si>
  <si>
    <t>Email Notifications Worker</t>
  </si>
  <si>
    <t>This will be a worker that received email notifications and sends them out via sendgrid or something</t>
  </si>
  <si>
    <t>GIV-150</t>
  </si>
  <si>
    <t>Messaging Triggers</t>
  </si>
  <si>
    <t>Giv Sprint 11</t>
  </si>
  <si>
    <t>Create event hooks for donor user actions like campaign donation, org donation, joining an organization, etc.
 -This includes potential email, sms, or push notifications for all of the above</t>
  </si>
  <si>
    <t>GIV-149</t>
  </si>
  <si>
    <t>Organization Dashboard</t>
  </si>
  <si>
    <t>!image-20240710-152014.png|width=832,height=669,alt="image-20240710-152014.png"!</t>
  </si>
  <si>
    <t>GIV-148</t>
  </si>
  <si>
    <t>Organization Landing Page on Web App</t>
  </si>
  <si>
    <t>Giv Sprint 10</t>
  </si>
  <si>
    <t>!image-20240710-151547.png|width=416,height=798,alt="image-20240710-151547.png"!</t>
  </si>
  <si>
    <t>GIV-147</t>
  </si>
  <si>
    <t>Backend Push Notifications: Setup notifications in Ruby App</t>
  </si>
  <si>
    <t>Store FCM Token in our DB
 Frontend: Process and display notifications
 Backend: Setup notifications in Ruby app
 when notifications are fired send them to the proper tokens/people
 *Technical Implementation*
 # Add FCM token in User table in DB
 # Add a controller for Push Notifications
 ##</t>
  </si>
  <si>
    <t>GIV-146</t>
  </si>
  <si>
    <t>Front-End Push Notifications: Display and Process</t>
  </si>
  <si>
    <t>Store FCM Token in our DB
 Frontend: Process and display notifications
 Backend: Setup notifications in Ruby app
 when notifications are fired send them to the proper tokens/people
 *Technical Implementation*
 # Add FCM token in User table in DB</t>
  </si>
  <si>
    <t>GIV-145</t>
  </si>
  <si>
    <t>As a user, I should be able to reset password</t>
  </si>
  <si>
    <t>GIV Sprint 9</t>
  </si>
  <si>
    <t>Use Devise!
 *Workflow*
 # As a user, I need to be able to reset my password
 # On the log-in screen, if I select ‚ÄúForgot Password?‚Äù, I can enter my email
 # An email is sent to me that allows me to click a link to reset my password
 # I enter my password, a password confirmation, and I hit ‚Äúreset‚Äù
 *Technical Implementation*
 # Add forgot password link
 # Add page to enter email for password reset
 # Add page to enter password reset
 *Acceptance Criteria*
 # I can hit forgot my password, enter my email, and be taken to the reset password screen where I can successfully reset my password
 #</t>
  </si>
  <si>
    <t>User Login</t>
  </si>
  <si>
    <t>Epic</t>
  </si>
  <si>
    <t>GIV-144</t>
  </si>
  <si>
    <t>Next Phase UI/UX</t>
  </si>
  <si>
    <t>GIV-143</t>
  </si>
  <si>
    <t>Super Admin</t>
  </si>
  <si>
    <t>GIV-142</t>
  </si>
  <si>
    <t>GIV-141</t>
  </si>
  <si>
    <t>GIV-140</t>
  </si>
  <si>
    <t>cliff.thompson</t>
  </si>
  <si>
    <t>619bfad9657a050070750d97</t>
  </si>
  <si>
    <t>mobile specific donor view
 Notifications Mgmt
 Subscriptions Mgmt
 Account Settings
 Security</t>
  </si>
  <si>
    <t>GIV-139</t>
  </si>
  <si>
    <t>Display a tabbed/swipable view of the Organization profile with 
 About
 Active Campaigns
 Published Posts
 _Recent public donations_</t>
  </si>
  <si>
    <t>GIV-138</t>
  </si>
  <si>
    <t>Configure Buddy to Use Fastlane for Automated Deployment of Android Mobile App</t>
  </si>
  <si>
    <t>GIV Sprint 1</t>
  </si>
  <si>
    <t>*Technical Statement:* In order to support manually testing the Android Mobile App with Test Users, the Staging Android mobile app will be automatically deployed through Buddy using Fastlane.
 *Acceptance Criteria:*
 * The Buddy pipeline for Staging has an action that automatically deploys the Staging Android mobile app to Google Play</t>
  </si>
  <si>
    <t>MVP staging environment</t>
  </si>
  <si>
    <t>GIV-137</t>
  </si>
  <si>
    <t>Setup Staging Distribution Pipeline in Google Play</t>
  </si>
  <si>
    <t>*Technical Statement:* In order to support deploying the React Native application for Android for the Staging environment, we need to create a distribution pipeline in Google Play.
 *Acceptance Criteria:*
 * A distribution pipeline exists for the Staging version of the mobile app</t>
  </si>
  <si>
    <t>GIV-136</t>
  </si>
  <si>
    <t>Configure FCM for Staging Android Mobile App</t>
  </si>
  <si>
    <t>*Technical Statement:* In order to support automated push notifications for the Android mobile app in the staging environment, the FCM account will be setup to support the Shift-Giving Android app.
 *Acceptance Criteria:*
 * The Android mobile app is able to receive push notifications from FCM for the Staging environment
 *Engineer Notes:*
 * Register Android App
 * Import JSON file
 * Config/Keys
 * React Native Firebase messaging SDK
 * Request permission for push notifications on initial app load
 * Store FCM Token</t>
  </si>
  <si>
    <t>GIV-135</t>
  </si>
  <si>
    <t>Setup FCM</t>
  </si>
  <si>
    <t>*Technical Statement:* In order to support automated push notifications, a Firebase Cloud Messaging account will be utilized for the Shift-Giving application.
 *Acceptance Criteria:*
 * An FCM account will be identified for use with the Shift-Giving application
 *Engineer Notes:*
 * Check with the Infrastructure team to determine if a new FCM account needs to be created or an existing account can be utilized</t>
  </si>
  <si>
    <t>GIV-134</t>
  </si>
  <si>
    <t>Configure Buddy to Use Fastlane for Automated Deployment of iOS Mobile App</t>
  </si>
  <si>
    <t>*Technical Statement:* In order to support manually testing the iOS Mobile App with Test Users, the Staging iOS mobile app will be automatically deployed through Buddy using Fastlane.
 *Acceptance Criteria:*
 * The Buddy pipeline for Staging has an action that automatically deploys the Staging iOS mobile app to App Store Connect and Testflight</t>
  </si>
  <si>
    <t>GIV-133</t>
  </si>
  <si>
    <t>Configure Testflight for Staging</t>
  </si>
  <si>
    <t>*Technical Statement:* In order to support manually testing the iOS Mobile App with Test Users, the Staging iOS Mobile App will deployed to Testflight.
 *Acceptance Criteria:*
 * The staging version of the iOS mobile app is deployed to Testflight
 * The staging version of the iOS mobile app is able to be downloaded by Testflight users
 *Engineer Notes:*
 * Add necessary IDs and keys into app
 * App signing for IOS
 * Getting deploys/builds working</t>
  </si>
  <si>
    <t>GIV-132</t>
  </si>
  <si>
    <t>Setup Staging Distribution Pipeline in App Store Connect</t>
  </si>
  <si>
    <t>*Technical Statement:* In order to support deploying the React Native application for iOS for the Staging environment, we need to create a distribution pipeline in App Store Connect.
 *Acceptance Criteria:*
 * A distribution pipeline exists for the Staging version of the mobile app</t>
  </si>
  <si>
    <t>GIV-131</t>
  </si>
  <si>
    <t>Configure Buddy to Deploy Docker Container to ECR for Staging</t>
  </si>
  <si>
    <t>*Technical Statement:* In order to support deploying the Rails Web Application for the Staging Environment, an action will be created in the Buddy staging pipeline to deploy the docker file to the AWS ECR instance.
 *Acceptance Criteria:*
 * An action exists for the Buddy staging pipeline in the Shift-Giving project that pushes the dockerfile for the Rails Web Application to the ECR instance</t>
  </si>
  <si>
    <t>GIV-130</t>
  </si>
  <si>
    <t>Configure AWS ECR for Staging Rails Web Application</t>
  </si>
  <si>
    <t>*Technical Statement:* In order to support deploying the Rails Web Application for the Staging Environment, an AWS ECR resource needs to be created for Rails docker container.
 *Acceptance Criteria:*
 * An AWS Elastic Container Registry resource exists for storing the Rails docker container for the Staging environment</t>
  </si>
  <si>
    <t>GIV-129</t>
  </si>
  <si>
    <t>Configure AWS ELB for Staging Rails Web Application</t>
  </si>
  <si>
    <t>*Technical Statement:* In order to support reaching the AWS ECS Web Application for the Staging Environment, an Elastic Load Balancer resource will be created in AWS.
 *Acceptance Criteria:*
 * An Elastic Load Balancer resource should exist in AWS for the Staging ECS Rails Web Application
 * This ELB should be created through Terraform</t>
  </si>
  <si>
    <t>GIV-128</t>
  </si>
  <si>
    <t>Configure Cloudflare for the Staging URL</t>
  </si>
  <si>
    <t>*Technical Statement:* In order to support DNS routing for the Staging URL of the Shift-Giving web application, a DNS route will be created in Cloudflare.
 *Acceptance Criteria:*
 * A DNS route will exist in Cloudflare for the Shift-Giving Staging URL that points to the AWS Load Balancer for the Staging site</t>
  </si>
  <si>
    <t>GIV-127</t>
  </si>
  <si>
    <t>Setup SSL Certificate for Staging Web Application</t>
  </si>
  <si>
    <t>*Technical Statement:* In order to support deploying the Staging environment Shift-Giving Web Application, an SSL certificate will be created.
 *Acceptance Criteria:*
 * An SSL certificate will be generated to be used for the Shift-Giving staging URL</t>
  </si>
  <si>
    <t>GIV-126</t>
  </si>
  <si>
    <t>Configure AWS ECS for Staging Rails Web Application</t>
  </si>
  <si>
    <t>*Technical Statement:* In order to support deploying the Rails Web Application for the Staging Environment, an AWS ECS resource needs to be created for Rails docker container.
 *Acceptance Criteria:*
 * An AWS ECS resource exists for running the Rails docker container for the Staging environment</t>
  </si>
  <si>
    <t>GIV-125</t>
  </si>
  <si>
    <t>Docker Container for Rails Web Application</t>
  </si>
  <si>
    <t>*Technical Statement:* In order to support deploying the Rails Web Application, a docker container will need to be created for running the Rails Web Application.
 *Acceptance Criteria:*
 * A docker container exists for running the Rails Web Application locally
 * Documentation exists in the ReadMe for how to start up the docker container</t>
  </si>
  <si>
    <t>GIV-124</t>
  </si>
  <si>
    <t>Configure AWS RDS for Staging Postgres Database</t>
  </si>
  <si>
    <t>*Technical Statement:* In order to support storing data in a database for the Staging environment, a database will need to be configured in AWS RDS.
 *Acceptance Criteria:*
 * A Postgres database instance should be configured in RDS through Terraform for the Staging environment
 * Automated backups should be configured
 * Maintenance Schedule should be configured
 * Logging to Cloudwatch should be configured
 * Database Deletion protection should be turned on
 * Encryption should be enabled</t>
  </si>
  <si>
    <t>GIV-123</t>
  </si>
  <si>
    <t>Identify Branching Strategy</t>
  </si>
  <si>
    <t>*Technical Statement:* In order to support build, test, and deployment pipelines, a branching strategy will need to be determined.
 *Acceptance Criteria:*
 * A branching strategy is determined and documented so that it is available to all engineers</t>
  </si>
  <si>
    <t>GIV-122</t>
  </si>
  <si>
    <t>Configure Build/Test Pipeline in CircleCI</t>
  </si>
  <si>
    <t>*Technical Statement:* In order to support building and testing changes made within the Shift-Giving repository, a build/test pipeline will need to be created.
 *Acceptance Criteria:*
 * A build and test pipeline should exist in CircleCI for the Shift-Giving project
 * The build and test pipeline should execute according to the branching strategy that has been determined
 *Engineer Notes:*
 * The build and test pipeline should include the Rails Web Application and the React Native Mobile Apps</t>
  </si>
  <si>
    <t>GIV-121</t>
  </si>
  <si>
    <t>Add Integration/Unit Automated Test Library/Framework to React Native Application</t>
  </si>
  <si>
    <t>*Technical Statement:* In order to support creating automated integration/unit tests, a library/framework will need to setup for the React Native Application.
 *Acceptance Criteria:*
 * A library/framework will exist for creating and executing automated integration/unit tests in the React Native Application</t>
  </si>
  <si>
    <t>GIV-120</t>
  </si>
  <si>
    <t>Add Integration/Unit Automated Test Library/Framework to Rails Web Application</t>
  </si>
  <si>
    <t>*Technical Statement:* In order to support creating automated integration/unit tests, a library/framework will need to setup for the Rails Web Application.
 *Acceptance Criteria:*
 * A library/framework will exist for creating and executing automated integration/unit tests in the Rails Web Application</t>
  </si>
  <si>
    <t>GIV-119</t>
  </si>
  <si>
    <t>Add Acceptance Automated Test Library/Framework</t>
  </si>
  <si>
    <t>*Technical Statement:* In order to support creating automated acceptance tests, a library/framework will need to setup.
 *Acceptance Criteria:*
 * A library/framework will exist for creating and executing automated acceptance tests</t>
  </si>
  <si>
    <t>GIV-118</t>
  </si>
  <si>
    <t>Identify Test Automation Libraries/Frameworks</t>
  </si>
  <si>
    <t>*Technical Statement:* In order to support automated tests for the entire application, a testing strategy will be needed and automated testing libraries/frameworks will need to be identified.
 *Acceptance Criteria:*
 * A testing strategy for the entire application should exist and be documented for all engineers to reference
 ** (e.g. Acceptance Tests should exist for the entire system)
 ** (e.g. Integration/Unit Tests should exist for the React Native application)
 ** (e.g. Integration/Unit Tests should exist for the Rails Web Application)
 * A library/framework should be determined for automated acceptance tests
 * A library/framework should be determined for automated integration/unit tests in the Rails Web Application
 * A library/framework should be determined for automated integration/unit tests in the React Native Application</t>
  </si>
  <si>
    <t>GIV-117</t>
  </si>
  <si>
    <t>Add React Native Application to Repository</t>
  </si>
  <si>
    <t>*Technical Statement:* In order to support starting development on the React Native application, a React Native Mobile Application needs to exist in Shift-Giving repository.
 *Acceptance Criteria:*
 * A boilerplate React Native project should exist in the Shift-Giving repository
 *Engineer Notes:*
 * Since the Shift-Giving repository is meant to be a mono-repository, the React Native project should exist within a sub-directory from the root of the repository using a tech-agnostic directory name
 ** It is suggested to use something like ‚Äúui‚Äù</t>
  </si>
  <si>
    <t>GIV-116</t>
  </si>
  <si>
    <t>Add Rails Web Application to Repository</t>
  </si>
  <si>
    <t>*Technical Statement:* In order to support starting development on the Ruby on Rails application, a Rails Web Application needs to exist in Shift-Giving repository.
 *Acceptance Criteria:*
 * A boilerplate Ruby on Rails project should exist in the Shift-Giving repository
 *Engineer Notes:*
 * Since the Shift-Giving repository is meant to be a mono-repository, the Ruby on Rails project should exist within a sub-directory from the root of the repository using a tech-agnostic directory name
 ** It is suggested to use something like ‚Äúapi‚Äù or ‚Äúwebapp‚Äù</t>
  </si>
  <si>
    <t>GIV-115</t>
  </si>
  <si>
    <t>Set up Jumpstart Multitenancy</t>
  </si>
  <si>
    <t>GIV Sprint 2</t>
  </si>
  <si>
    <t>*Acceptance Criteria*
 # I can log in as an admin account user
 [https://jumpstartrails.com/docs/installation|https://jumpstartrails.com/docs/installation|smart-link]</t>
  </si>
  <si>
    <t>GIV-114</t>
  </si>
  <si>
    <t>As a donor user, I want to see a feed of posts</t>
  </si>
  <si>
    <t>GIV-113</t>
  </si>
  <si>
    <t>Setup Staging Pipeline in Buddy</t>
  </si>
  <si>
    <t>*Technical Statement:* In order to support deploying the Rails Web Application for the Staging Environment, a pipeline will be created in Buddy for staging.
 *Acceptance Criteria:*
 * A pipeline will exist in the Shift-Giving project in Buddy for the Staging environment</t>
  </si>
  <si>
    <t>GIV-112</t>
  </si>
  <si>
    <t>Configure Mailgun for Staging Environment</t>
  </si>
  <si>
    <t>*Technical Statement:* In order to support sending emails for the Staging environment, the Mailgun project for Shift-Giving will be configured.
 *Acceptance Criteria:*
 * The Mailgun project for Shift-Giving will be configured to support a Staging environment</t>
  </si>
  <si>
    <t>GIV-111</t>
  </si>
  <si>
    <t>As a donor user, I want to be able to see campaign page with a list of previous posts</t>
  </si>
  <si>
    <t>Publish Post</t>
  </si>
  <si>
    <t>GIV-110</t>
  </si>
  <si>
    <t>As an org user, I want to be able edit a post</t>
  </si>
  <si>
    <t>No push!</t>
  </si>
  <si>
    <t>GIV-109</t>
  </si>
  <si>
    <t>Org profile - as viewed by donor visiting</t>
  </si>
  <si>
    <t>MVP UI/UX</t>
  </si>
  <si>
    <t>GIV-108</t>
  </si>
  <si>
    <t>As an org admin, I want to be able to create/update my organization profile</t>
  </si>
  <si>
    <t>!Screenshot 2024-06-24 at 1.51.04 PM.png|width=388,height=830,alt="Screenshot 2024-06-24 at 1.51.04 PM.png"!
 *Workflow*
 As an organization, I want to be able to create or update an organization profile.
 # I can upload an organization photo
 # I can fill out top-level description with a text box for mission statement, mission statement description
 # I can fill out subsections for cause/cause description (organization profile objectives) and add as many subsections as I want (?)
 *Technical Implementation*
 # Headers need to be length-restricted (60?)
 # Descriptions need to be restricted (280)
 *Acceptance Criteria*
 # As an org user, when I update my profile, the values are saved to the DB in the appropriate tables
 *Assumptions*
 # The organization table exists
 # Organization ‚Äúorganization_profile_objectives‚Äù table exists
 *Note:* Find an intuitive vernacular for this whole thing</t>
  </si>
  <si>
    <t>GIV-107</t>
  </si>
  <si>
    <t>User flow - Sign-up via SG code</t>
  </si>
  <si>
    <t>Create a user flow that details out the step-by-step of the code sign-up process.
 * Does the code gate sign-up? (if you don‚Äôt have a code you can‚Äôt join)
 * Should there be a generic sign-up option that you can trigger your own code to 1 or more default orgs?
 * What does it look like to invite users/generate codes from org perspective?</t>
  </si>
  <si>
    <t>GIV-106</t>
  </si>
  <si>
    <t>As a donor user, I want to be able to add new organizations after I have already signed up for the app</t>
  </si>
  <si>
    <t>Giv Sprint 12</t>
  </si>
  <si>
    <t>I can enter a code or scan a QR code to add an additional organization to my account.</t>
  </si>
  <si>
    <t>GIV-105</t>
  </si>
  <si>
    <t>Setup App Store Connect</t>
  </si>
  <si>
    <t>*Technical Statement:* In order to support deploying the iOS mobile app for the Shift-Giving project, an App Store Connect account will be utilized.
 *Acceptance Criteria:*
 * An App Store Connect account will be identified to be used for the Shift-Giving mobile app
 * All engineers will have access to view and modify the App Store Connect account
 *Engineer Notes:*
 * Check with the Infrastructure team if a new App Store Connect account needs to be created or an existing account can be utilized</t>
  </si>
  <si>
    <t>GIV-104</t>
  </si>
  <si>
    <t>As an org admin, I need to be able to see users associated with my organization and grant them permissions</t>
  </si>
  <si>
    <t>Next Phase</t>
  </si>
  <si>
    <t>GIV-103</t>
  </si>
  <si>
    <t>As a new user, I want to be able to sign up as an org member</t>
  </si>
  <si>
    <t>Org Sign-up</t>
  </si>
  <si>
    <t>GIV-102</t>
  </si>
  <si>
    <t>Push Notification Worker (Donations)</t>
  </si>
  <si>
    <t>*Workflow*
 As a user, I want to receive a push notification when I make a donation that thanks me for making a donation.</t>
  </si>
  <si>
    <t>Push notifications</t>
  </si>
  <si>
    <t>GIV-101</t>
  </si>
  <si>
    <t>Push Notification Worker (Posts)</t>
  </si>
  <si>
    <t>*Technical Implementation*
 # Add the FCM Token field to the Users table. 
 ## After the push notification permission is accepted by the user, add this token to the DB for that user
 # Given a campaign ID and Notification object { title, message, data }, we need a push notification worker to find users that have donated to that campaign that have notifications enabled to send a push notification to
 # Trigger push notifications to FCM
 *Acceptance Criteria*
 # The worker is sending out push notifications for the data we are passing manually.
 *Assumptions*
 # Users have accepted/allowed push notifications
 # Our DB has stored FCM token
 # We have setup our React native app already in FCM
 # Sidekiq post schedule job is implemented</t>
  </si>
  <si>
    <t>GIV-100</t>
  </si>
  <si>
    <t>As an org user, I want to be able to set groups for push notifications when I create a post</t>
  </si>
  <si>
    <t>GIV-99</t>
  </si>
  <si>
    <t>As a donor user, I want to receive a push notification when a campaign publishes a post</t>
  </si>
  <si>
    <t>GIV-98</t>
  </si>
  <si>
    <t>As a donor user, I want to see "Share to Social" options on campaign posts I recieve</t>
  </si>
  <si>
    <t>*Assumption*
 # For starters, we are just adding the share to social buttons to the bottom of campaign posts that donors view</t>
  </si>
  <si>
    <t>GIV-97</t>
  </si>
  <si>
    <t>As an org user, I want to be able to schedule a post for later</t>
  </si>
  <si>
    <t>*Workflow*
 # As a user, I want to be able to schedule a post for later and have that post publish at the scheduled time.
 # In the Post creation, when we create a post scheduled for later, the published flag will be set to false.
 *Technical Details*
 # Dispatch Sidekiq job for publishing the post at the scheduled time. This can update a published flag on the post.
 *Assumption*
 # Not notifying, not push notifications</t>
  </si>
  <si>
    <t>GIV-96</t>
  </si>
  <si>
    <t>As an org user, I want to upload multiple photos</t>
  </si>
  <si>
    <t>GIV-95</t>
  </si>
  <si>
    <t>As a shift Admin, I want to include videos in posts</t>
  </si>
  <si>
    <t>GIV-94</t>
  </si>
  <si>
    <t>As a shift Admin, I want to be able to upload one or more photos to a post</t>
  </si>
  <si>
    <t>GIV-93</t>
  </si>
  <si>
    <t>As a shift Admin, I want to make posts for a campaign</t>
  </si>
  <si>
    <t>GIV-92</t>
  </si>
  <si>
    <t>As a Shift admin, I want to see donations for a campaign</t>
  </si>
  <si>
    <t>GIV-91</t>
  </si>
  <si>
    <t>As a Shift Admin, I want to start a campaign</t>
  </si>
  <si>
    <t>As an shift admin, I want to start a campaign so that users can donate to it.
 After starting my campaign, it should be public and available for users to donate to (?)
 !Screenshot 2024-06-05 at 11.50.47 AM-20240605-165053.png|width=684,height=494,alt="Screenshot 2024-06-05 at 11.50.47 AM-20240605-165053.png"!
 *Workflow*
 # As a campaign admin, I can navigate to a campaign page where there is an option to ‚ÄúCreate a campaign‚Äù.
 # Choosing to ‚ÄúCreate campaign‚Äù takes me through a story design wizard where I can
 ## Create Title / Purpose
 ## Select Beneficiary¬†(Is this a list or text?)
 ## Set Giving Goal
 ##* Org can manually modify the goal amount to reflect offline donations
 ## Set Start date (scheduled start)
 ## Start button (immediate start)
 ## End button (immediate end)
 ## End date (scheduled end)
 Custom Messaging (v2)
 ## Set Thank You message text (per donation)
 ## Set Thank you message text (end of campaign)
 *Acceptance Criteria*
 The campaign is created in the database?</t>
  </si>
  <si>
    <t>GIV-90</t>
  </si>
  <si>
    <t>Multi-tenancy approaches</t>
  </si>
  <si>
    <t>[https://www.kolide.com/blog/kolide-s-30-line-rails-multi-tenant-strategy|https://www.kolide.com/blog/kolide-s-30-line-rails-multi-tenant-strategy|smart-link] 
 [https://jumpstartrails.com/docs/multitenancy|https://jumpstartrails.com/docs/multitenancy|smart-link] 
 [https://www.reddit.com/r/rails/comments/18gw6ry/multitenancy_in_rails/|https://www.reddit.com/r/rails/comments/18gw6ry/multitenancy_in_rails/|smart-link]</t>
  </si>
  <si>
    <t>GIV-89</t>
  </si>
  <si>
    <t>Add FCM Token to User Table</t>
  </si>
  <si>
    <t>GIV-88</t>
  </si>
  <si>
    <t>Site Admin</t>
  </si>
  <si>
    <t>GIV-87</t>
  </si>
  <si>
    <t>As a user, I should be able to manage my saved payment methods from the payment page</t>
  </si>
  <si>
    <t>GIV Sprint 4</t>
  </si>
  <si>
    <t>!Screenshot 2024-06-28 at 1.08.48 PM-20240628-180854.png|width=446,height=465,alt="Screenshot 2024-06-28 at 1.08.48 PM-20240628-180854.png"!
 *Workflow*
 # As a user, I want to be able to manage my saved payment method so I can pay with a different method.
 # During checkout, if I have a saved payment method, it will display in a box with an edit icon.
 # If I click edit, I can enable new payment method fields and will be allowed to enter another payment method and have the option to save it.
 *Acceptance Criteria*
 # I can go through the checkout process with a new payment method after clicking the edit button on my saved payment.
 *Assumptions*
 # Saved payments are completed
 # There is a way in [Authorize.net|http://Authorize.net] to remove payment profile IDs
 *Technical Implementation*
 On the Payment page, there will be an edit icon that should revert the fields to editable fields and allow the user to enter a new payment method. When a user saves with this new payment method, should they choose to save it, it should become their new saved payment method. 
 *Questions*
 In [Authorize.Net|http://Authorize.Net], do we need to remove the other payment method to only have one saved and not have it automatically save more? Or will this require saving a payment method token?
 --We need to track payment profile Ids in the user</t>
  </si>
  <si>
    <t>Accept Donation</t>
  </si>
  <si>
    <t>GIV-86</t>
  </si>
  <si>
    <t>As a user, I should be able to select from several saved payment methods</t>
  </si>
  <si>
    <t>*Workflow*
 # As a user, after checking out, but before the transaction is processed, I should be presented a prompt for saving my payment information for a faster checkout.
 # After the transaction has finished, if I make another donation, I should see a redacted version of my most recently saved payment information pre-populated in the payment section.
 ## *If I have multiple payment methods saved, I should be able to click on my saved payment method to open a list of saved payment methods, and be able to choose between which payment method on file I want to use.*
 # I should be able to click donate and have the selected saved payment method charged.
 *Technical Implementation*
 # We need to add a call to [Get Customer Payment Profile List|https://developer.authorize.net/api/reference/index.html#customer-profiles-get-customer-payment-profile-list] to retrieve a list of Customer Payment Profiles. We can order the list by the CustomerPaymentProfileId field desc to get the most recent payment profile from the top.
 # We need to display the first customer payment profile if it exists
 # Instead of processing a transaction how we normally do, we should use the endpoint to [charge a customer profile|https://developer.authorize.net/api/reference/index.html#payment-transactions-charge-a-customer-profile]. It‚Äôs important we pass the payment profile we want to use as part of the request body so it charges the correct payment method on file.
 ‚Äì We need to add payment methods to the customer profile when the user opts to use a new payment method instead of one already saved
 * We need to allow a selection from multiple payment methods that populate based on customer profile id
 *Assumptions*
 # Customer Profile Id is being saved somewhere
 # One payment method can already successfully be saved and reused
 # We are going to have all our [Authorize.net|http://Authorize.net] interaction on donate</t>
  </si>
  <si>
    <t>GIV-85</t>
  </si>
  <si>
    <t>As a user, I should be able to save a new payment method for a single donation</t>
  </si>
  <si>
    <t>*Workflow*
 # As a user, after checking out, but before the transaction is processed, I should be able to check a box that says ‚ÄúSave payment information‚Äù for a faster checkout.
 # After the transaction has finished, if I make another donation, I should see a redacted version of my most recently saved payment information pre-populated in the payment section.
 ## If I have multiple payment methods saved, I should be able to click on my saved payment method to open a list of saved payment methods, and be able to choose between which payment method on file I want to use.
 # I should be able to click donate and have the selected saved payment method charged.
 *Technical Details*
 # After the payment flow from [https://shiftinteractive.atlassian.net/browse/GIV-30|https://shiftinteractive.atlassian.net/browse/GIV-30|smart-link], we need to create a customer profile in [Authorize.net|https://developer.authorize.net/api/reference/index.html#customer-profiles-create-a-customer-profile-from-a-transaction] from a transaction. This should also save the payment information on that transaction.
 # We need to add a call to [Get Customer Payment Profile List|https://developer.authorize.net/api/reference/index.html#customer-profiles-get-customer-payment-profile-list] to retrieve a list of Customer Payment Profiles. We can order the list by the CustomerPaymentProfileId field desc to get the most recent payment profile from the top.
 # We need to display the first customer payment profile if it exists
 # Instead of processing a transaction how we normally do, we should use the endpoint to [charge a customer profile|https://developer.authorize.net/api/reference/index.html#payment-transactions-charge-a-customer-profile]. It‚Äôs important we pass the payment profile we want to use as part of the request body so it charges the correct payment method on file.
 [--We need to call Create a customer from a transaction if the user selects ‚ÄúSave‚Äù for their card information|https://developer.authorize.net/api/reference/index.html#customer-profiles-create-a-customer-profile-from-a-transaction]
 ‚Äì We need to save the customer profile ID in our DB!
 *Acceptance Criteria*
 # After I save one payment method, I should be able to see that method for selection on my next donation.
 *Assumptions*
 # For this card, we will only be concerned with handling a single saved payment method</t>
  </si>
  <si>
    <t>GIV-84</t>
  </si>
  <si>
    <t>As a user, I should be able to make a single donation to a campaign with a saved payment method</t>
  </si>
  <si>
    <t>As a user, when I click donate, I should be able to select an amount and enter payment details to donate to an organization so I can support them to the degree I want.
 !image-20240524-141743.png|width=770,height=532,alt="image-20240524-141743.png"!
 *Workflow*
 # As a user, when navigate to the donate page from a campaign, I should be presented with a form that has the following options:
 ## An amount with presets of ‚Äú50‚Äù, ‚Äú100‚Äù, ‚Äú150‚Äù and ‚Äú200‚Äù
 # After I select an amount, I should be redirected to a payment page that contains a form collecting the following information:
 ## Amount confirmation
 ## Payment Details (Handled by payment processor?‚Äù
 ## Submit
 # If there is a saved method (we check for the payment method token that we‚Äôve saved), we want to auto-populate details with the saved payment method that has the newest customerpaymentprofileId from the [Authorize.net|http://Authorize.net] response.
 # You can click on the payment method to view a list of payment methods which will be retrieved from /getCustomerProfile [authorize.net|http://authorize.net] endpoint.</t>
  </si>
  <si>
    <t>GIV-83</t>
  </si>
  <si>
    <t>As a user, I should be able to end a subscription I've started</t>
  </si>
  <si>
    <t>*Assumptions*
 # There is an account management page to add this to
 # Payment stuff is basically all done
 # Subscriptions can be started and we have the subscription Id</t>
  </si>
  <si>
    <t>GIV-82</t>
  </si>
  <si>
    <t>SPIKE: Security concerns for payment method calls from front-end</t>
  </si>
  <si>
    <t>TIME BOX: 8 hours</t>
  </si>
  <si>
    <t>GIV-81</t>
  </si>
  <si>
    <t>As an org user, I want to be able to personalize campaign posts</t>
  </si>
  <si>
    <t>As a campaign admin, I want to create posts to update donors or users that can see my organization about upcoming or ongoing campaigns.
 !image-20240529-140744.png|width=302,height=615,alt="image-20240529-140744.png"!
 !image-20240529-140859.png|width=751,height=560,alt="image-20240529-140859.png"!
 *Workflow*
 # As an org user, I can navigate to a campaign page on the web application.
 # I can create a post for now or schedule a post for later.
 # I am presented with a screen that allows me to 
 #* Add description text
 #* Set ‚Äòinclude goal/progress graphic' option¬†
 #* Set push notification options
 #* Set up news feed specific content
 #* Set ‚Äòpersonalized‚Äô option (including donor info) (yes/no)
 #* Save Post
 # If I select personalization and publish the post, a donor user will see ‚Äú[Name], [Post]‚Äù.
 *Assumption*
 # We are just prepending the name to the post for now. To allow the name to be replaced within the post, we‚Äôd need to add features to the text editor.</t>
  </si>
  <si>
    <t>Campaign Admin</t>
  </si>
  <si>
    <t>GIV-80</t>
  </si>
  <si>
    <t>As an org user, I want to preview a campaign post while I am making it</t>
  </si>
  <si>
    <t>As a campaign admin, I want to create posts to update donors or users that can see my organization about upcoming or ongoing campaigns.
 !Screenshot 2024-06-05 at 1.08.02 PM-20240605-180808.png|width=934,height=695,alt="Screenshot 2024-06-05 at 1.08.02 PM-20240605-180808.png"!
 As a User, I want to see a preview of a post while I fill it out on the make post page.
 *Assumptions*
 # Text box can take HTML
 *Questions*
 # How are we handling link? Link setup in the figma is confusing us a little</t>
  </si>
  <si>
    <t>GIV-79</t>
  </si>
  <si>
    <t>Goal progress bar</t>
  </si>
  <si>
    <t>!Screenshot 2024-06-28 at 1.12.00 PM-20240628-181206.png|width=385,height=130,alt="Screenshot 2024-06-28 at 1.12.00 PM-20240628-181206.png"!
 Blocked by figma designs - once figma is done we should build this component to that specification
 *Technical Implementation*
 # The bar displays a percentage - amount raised / goal amount
 # The amount raised is displayed above the bar</t>
  </si>
  <si>
    <t>GIV-78</t>
  </si>
  <si>
    <t>Configure AWS S3 for Staging Photo Storage</t>
  </si>
  <si>
    <t>*Technical Statement:* In order to support storage of photos, an S3 bucket will need to exist in AWS for the Staging environment.
 *Acceptance Criteria:*
 * An S3 bucket exists in AWS for the staging environment</t>
  </si>
  <si>
    <t>GIV-77</t>
  </si>
  <si>
    <t>As a user, whose campaigns should we be seeing?</t>
  </si>
  <si>
    <t>GIV-76</t>
  </si>
  <si>
    <t>As a user, I should be able to sign in</t>
  </si>
  <si>
    <t>Use devise!
 * Make sure this automatically handles password resets/etc</t>
  </si>
  <si>
    <t>GIV-75</t>
  </si>
  <si>
    <t>As a user, I should be able to make a recurring donation to a campaign</t>
  </si>
  <si>
    <t>As a user, when I click donate, I should be able to select an amount and enter payment details to donate to an organization so I can support them to the degree I want.
 !image-20240524-141743.png|width=770,height=532,alt="image-20240524-141743.png"!
 *Workflow*
 # As a user, when navigate to the donate page, I should be presented with a form that has the following options:
 ## An amount with presets of ‚Äú50‚Äù, ‚Äú100‚Äù, ‚Äú150‚Äù and ‚Äú200‚Äù
 # After I select an amount, I should be redirected to a payment page that contains a form collecting the following information:
 ## Amount confirmation
 ## Payment Details (Handled by payment processor?‚Äù
 ## Submit
 # Upon a successful donation, I am presented with a confirmation/Thank You notification (push?)
 # If there as an error with my payment, I am presented with a alert informing me that my payment did not successfully complete.
 *Technical Implementation*
 # If a user is creating a subscription with a new payment method, use the create subscription endpoint. Otherwise, use the create subscription from customer profile endpoint (also using the returned payment info id)
 # When setting up a recurring donation, we need to get the subscription id
 # One user can have only one subscription per campaign
 Outstanding questions:
 # We‚Äôll be using [Authorize.net|https://developer.authorize.net/api/reference/index.html#recurring-billing] for payments</t>
  </si>
  <si>
    <t>GIV-74</t>
  </si>
  <si>
    <t>As a user, I want to verify my email</t>
  </si>
  <si>
    <t>When I click an email verification link, I am informed that my email has been verified and the verification flag on my account is set to true</t>
  </si>
  <si>
    <t>GIV-73</t>
  </si>
  <si>
    <t>As a donor user, I want to manage my account</t>
  </si>
  <si>
    <t>!image-20240710-150406.png|width=316,height=680,alt="image-20240710-150406.png"!
 *Workflow*
 As a donor user, I should be able to navigate to an account section where I can edit my account details.
 Screenshot 2024-07-10 at 9.08.33 AM
 On the account page, I should be able to edit
 # My email address
 # My password
 # My notifications setting
 ## I should be able to select options for
 ### Email Notifications
 ### SMS Notifications
 ### Push Notifications
 # My payment method
 ## If I select ‚ÄúChange my payment method‚Äù, I should be able to see my current payment methods and delete and add new ones
 *Acceptance Criteria*
 # I can edit the above fields in the workflow and save them, and they are persisted.
 # The styling of the page adheres to the Figma design
 # I can see and edit recurring payments too
 # Password reset has a confirmation box and also requires entering old password</t>
  </si>
  <si>
    <t>GIV-72</t>
  </si>
  <si>
    <t>As an org admin, I want to grant users in my org permissions to manage campaigns</t>
  </si>
  <si>
    <t>Outstanding questions:
 What permissions? How granular does granting permissions need to be or can it be totally role-based? Can I add a user to my org without granting permissions?</t>
  </si>
  <si>
    <t>GIV-71</t>
  </si>
  <si>
    <t>As an org admin, I want to add users to my org</t>
  </si>
  <si>
    <t>GIV-70</t>
  </si>
  <si>
    <t>As a user, I should receive an email confirmation upon a completing a donation</t>
  </si>
  <si>
    <t>As a user, when I complete a donation I should receive a confirmation email with a tax receipt so that I can keep it for my records.
 *Workflow*
 # As a user, I make a donation to a campaign.
 # I receive an email informing me the payment has processed successfully and containing a tax receipt for my charitable donation.
 Outstanding questions: Using Sendgrid?
 *Technical Implementation Details*
 # After-save hook for a transaction that triggers an email
 *Acceptance Criteria*
 # The email sends with some sort of info about the transaction
 *Assumptions*
 # The content of the email doesn‚Äôt really matter at this point, just getting it sending</t>
  </si>
  <si>
    <t>GIV-69</t>
  </si>
  <si>
    <t>As an donor user, I want to be able to sign up using my apple account</t>
  </si>
  <si>
    <t>!lPARshk6m_nImiXMIB2CQ4G9XKLRnzryCOlo6D3PURisoit8kvzHm_OuZ4Ix0fQeAbmCZ5C2FJDropfEf5Z4kBaZkpM2yLyioX_uy60NTVITT9SeaPOsRr2ct0ZroPlRXREj2d08NgN7z5N-0zmvEjk|width=100%!
 !0V7DCX7nqYx5lxEek5dJY8fEnHS9N4NejrQB-BcLS6t8JNEBhHQiCVNxwbAek3wL36BJkOLGeLOdjp1QnP_9YIcMDc7jzMly6oacs1E7nL9SlsMAt6SB7oEb6MFMAY8MBMgoiXeD5--Oy_pDdmmzyYY|width=700,height=1148!
 *Workflow*
 # As a new user, after I download the app, I am taken to the Sign-Up page and given the following options for signing up:
 ## Join as an Individual
 ### If I select ‚ÄúJoin as Indivudal‚Äù and ‚ÄúSign in using Apple‚Äù, I am redirected to Apple‚Äôs sign-in portal
 ### I authenticate myself in Apple.
 #### If it is my first time signing in, I am then redirected to the Indivudal Sign Up page
 #### If it is not my first time signing in, I am redirected to my home page.
 ## Join as a Charity
 # On the Donor Sign Up page, I am prompted to enter the following options:
 * First name
 * Last name
 * Email address
 # After I enter all this information and click ‚ÄúContinue‚Äù, an account is created.</t>
  </si>
  <si>
    <t>Donor Sign-up</t>
  </si>
  <si>
    <t>GIV-68</t>
  </si>
  <si>
    <t>As a donor user, I want to be able to sign up using my google account</t>
  </si>
  <si>
    <t>!lPARshk6m_nImiXMIB2CQ4G9XKLRnzryCOlo6D3PURisoit8kvzHm_OuZ4Ix0fQeAbmCZ5C2FJDropfEf5Z4kBaZkpM2yLyioX_uy60NTVITT9SeaPOsRr2ct0ZroPlRXREj2d08NgN7z5N-0zmvEjk|width=100%!
 !0V7DCX7nqYx5lxEek5dJY8fEnHS9N4NejrQB-BcLS6t8JNEBhHQiCVNxwbAek3wL36BJkOLGeLOdjp1QnP_9YIcMDc7jzMly6oacs1E7nL9SlsMAt6SB7oEb6MFMAY8MBMgoiXeD5--Oy_pDdmmzyYY|width=700,height=1148!
 *Workflow*
 # As a new user, after I download the app, I am taken to the Sign-Up page and given the following options for signing up:
 ## Join as an Individual
 ### If I select ‚ÄúJoin as Individual‚Äù and ‚ÄúSign in using google‚Äù, I am redirected to google‚Äôs sign-in portal
 ### I authenticate myself in google.
 #### If it is my first time signing in, I am then redirected to the Individual Sign Up page
 #### If it is not my first time signing in, I am redirected to my home page.
 ## Join as a Charity
 # On the Donor Sign Up page, I am prompted to enter the following options:
 * First name
 * Last name
 * Email address
 # After I enter all this information and click ‚ÄúContinue‚Äù, an account is created.</t>
  </si>
  <si>
    <t>GIV-67</t>
  </si>
  <si>
    <t>As an org user, I want to be able to sign up using my apple account</t>
  </si>
  <si>
    <t>!lPARshk6m_nImiXMIB2CQ4G9XKLRnzryCOlo6D3PURisoit8kvzHm_OuZ4Ix0fQeAbmCZ5C2FJDropfEf5Z4kBaZkpM2yLyioX_uy60NTVITT9SeaPOsRr2ct0ZroPlRXREj2d08NgN7z5N-0zmvEjk|width=100%!
 !0V7DCX7nqYx5lxEek5dJY8fEnHS9N4NejrQB-BcLS6t8JNEBhHQiCVNxwbAek3wL36BJkOLGeLOdjp1QnP_9YIcMDc7jzMly6oacs1E7nL9SlsMAt6SB7oEb6MFMAY8MBMgoiXeD5--Oy_pDdmmzyYY|width=700,height=1148!
 *Workflow*
 # As a new user, after I download the app, I am taken to the Sign-Up page and given the following options for signing up:
 ## Join as an Individual
 ## Join as a Charity
 ### If I select ‚ÄúJoin as a Charity‚Äù and ‚ÄúSign in using Apple‚Äù, I am redirected to Apple‚Äôs sign-in portal
 #### I authenticate myself in Apple.
 ##### If it is my first time signing in, I am then redirected to the Chairty Sign Up page
 ##### If it is not my first time signing in, I am redirected to my home page.
 # On the Charity Sign Up page, I am prompted to enter the following options:
 * Org Name
 * Owner First name
 * Owner Last name
 * Email address
 * Nonprofit EIN
 ** nine-digit tax ID number that IRS assigns to nonprofits, charities, organizations, and businesses in the following format: XX-XXXXXXX
 # After I enter all this information and click ‚ÄúContinue‚Äù, an account is created.</t>
  </si>
  <si>
    <t>GIV-66</t>
  </si>
  <si>
    <t>As an org user, I want to be able to sign in using my google account</t>
  </si>
  <si>
    <t>!lPARshk6m_nImiXMIB2CQ4G9XKLRnzryCOlo6D3PURisoit8kvzHm_OuZ4Ix0fQeAbmCZ5C2FJDropfEf5Z4kBaZkpM2yLyioX_uy60NTVITT9SeaPOsRr2ct0ZroPlRXREj2d08NgN7z5N-0zmvEjk|width=100%!
 !0V7DCX7nqYx5lxEek5dJY8fEnHS9N4NejrQB-BcLS6t8JNEBhHQiCVNxwbAek3wL36BJkOLGeLOdjp1QnP_9YIcMDc7jzMly6oacs1E7nL9SlsMAt6SB7oEb6MFMAY8MBMgoiXeD5--Oy_pDdmmzyYY|width=700,height=1148!
 *Workflow*
 # As a new user, after I download the app, I am taken to the Sign-Up page and given the following options for signing up:
 ## Join as an Individual
 ## Join as a Charity
 ### If I select ‚ÄúJoin as a Charity‚Äù and ‚ÄúSign in using google‚Äù, I am redirected to google‚Äôs sign-in portal
 #### I authenticate myself in google.
 ##### If it is my first time signing in, I am then redirected to the Chairty Sign Up page
 ##### If it is not my first time signing in, I am redirected to my home page.
 # On the Charity Sign Up page, I am prompted to enter the following options:
 * Org Name
 * Owner First name
 * Owner Last name
 * Email address
 * Nonprofit EIN
 ** nine-digit tax ID number that IRS assigns to nonprofits, charities, organizations, and businesses in the following format: XX-XXXXXXX
 # After I enter all this information and click ‚ÄúContinue‚Äù, an account is created.</t>
  </si>
  <si>
    <t>GIV-65</t>
  </si>
  <si>
    <t>As a donor user, I want to be able to sign up</t>
  </si>
  <si>
    <t>!Screenshot 2024-06-05 at 2.20.21 PM-20240605-192026.png|width=855,height=520,alt="Screenshot 2024-06-05 at 2.20.21 PM-20240605-192026.png"!
 *Workflow*
 # As a new user, I navigate to the app and am prompted to enter an organization code to sign up.
 # Once I enter the organization code, and it is verified, I am taken to a sign-up form and given the following options for signing up:
 ## Join as an Individual
 ### If I select ‚ÄúJoin as Individual‚Äù and enter my email, I am taken the charity sign-up page upon signing up
 ## Join as Charity
 # On the Charity Sign Up page, I am prompted to enter the following options:
 * First name
 * Last name
 * Email address
 * Password (Do we want a password confirm?)
 * Date of Birth
 # After I enter all this information and click ‚ÄúContinue‚Äù, an account is created that is associated with the company ID of the code</t>
  </si>
  <si>
    <t>GIV-64</t>
  </si>
  <si>
    <t>As an org user, I want to be able to upload one photo to a post</t>
  </si>
  <si>
    <t>*Infrastructure*
 # Active Storage setup
 *Story*
 As an org user, I want to upload one or multiple photos to a post so I can use visual media to tell a story.
 !image-20240529-154805.png|width=751,height=560,alt="image-20240529-154805.png"!
 *Workflow*
 # In the page for creating a campaign post, I have the option to ‚ÄúUpload Photos‚Äù and can upload one or as many photos as I want.
 *Outstanding questions*
 # Should I be able to display these photos in the body of the post, or choose if they are displayed above or below?
 # Will we host photos or will we find a 3rd part service?
 ## Costs?
 # Will we auto-size photos uploaded to work with mobile?
 *Assumptions*
 Let‚Äôs say we‚Äôre storing photos in S3 bucket for the MVP. We‚Äôre capping it at one photo and restricting the placing to above the post.
 *Technical implementation*
 # Images DB table that stores file name/blob data/time stamps etc. - See GreekHouse Chefs for example</t>
  </si>
  <si>
    <t>GIV-63</t>
  </si>
  <si>
    <t>As an org user, I want to be able to set push notification options for a campaign post</t>
  </si>
  <si>
    <t>As an org user, I want to be able to set push notification options for a campaign post so I can send push notifications to users apps to increase engagement.
 *Workflow*
 # When creating a post, I am presented with an option to ‚ÄúSend push notification‚Äù that has the following sub-options:
 ## Send push notification
 ### If the box is unchecked, a push notification will not be sent
 ### If the box is checked, a push notification will be sent
 # If I select ‚ÄúSend push notification‚Äù, I am presented with the following options for recipients:
 ## Campaign Donors
 ## Org subscribers
 Does this include email?
 *Technical Implementation*
 # Adding the fields on front-end, and adding the push notification on the backend
 # The sidekiq job needs to be updated to dispatch the Push Notification Worker for Posts - we need to give the post and the campaign id for the push notification.
 *Acceptance Criteria*
 # Push notifications are being sent with the proper title, message, and at the correct time to the correct users.
 *Assumptions*
 # In the initial implementation, this will only go out to the people that have currently donated</t>
  </si>
  <si>
    <t>GIV-62</t>
  </si>
  <si>
    <t>As an org user, I want to be able to set "Share to social" options when I make a post</t>
  </si>
  <si>
    <t>As a user, when I create a post, I want to be able to set ‚ÄúShare to social‚Äù options
 * Set ‚Äòshare to social‚Äô options
 ** Can they integrate current social media platforms?
 ** API fees for existing platforms
 !3hzaQmBKgBXtIy6xYVxTsws4UI7-9qMoYs8Skm8hb33xsPsfukQblSXG75_qiXg7IEmpCYzFTAkrcJ6gv3JvnIsyd37q5XOt3unHwEpGeMw6MdbQAs2j-pkPbdS_cv4v9catlWJhWvfCndxkadMx7vQ|width=628,height=1366!</t>
  </si>
  <si>
    <t>GIV-61</t>
  </si>
  <si>
    <t>As an org user, I want to include videos in posts</t>
  </si>
  <si>
    <t>*Workflow*
 # As an org user, I want to be able to include a link to an uploaded video in a post.
 As an org user, when creating a post for a campaign, I want to be able to upload video to that post that
 * supports a wide variety of formats, qualities
 *Unknowns:*
 * Store on our site, or always off-site?
 * Use a 3rd party service for storing/compression?
 * Costs?
 * Limits on storage space per organization</t>
  </si>
  <si>
    <t>GIV-60</t>
  </si>
  <si>
    <t>I want to be able to sign up as a new org</t>
  </si>
  <si>
    <t>!image-20240605-193354.png|width=870,height=643,alt="image-20240605-193354.png"!
 *Workflow*
 # As a user, I navigate to the web page and am prompted for an org code or given the option to sign up as a new charity. 
 ## If I select ‚ÄúJoin as a new Charity‚Äù and enter my email, I am taken the charity sign-up page upon signing up
 # On the Charity Sign Up page, I am prompted to enter the following options:
 * Owner First name
 * Owner Last name
 * Business Name
 * Email address
 * Phone Number
 * Social Secutiy Number/Tax Id Number - ENCRYPTED!
 ** nine-digit tax ID number that IRS assigns to nonprofits, charities, organizations, and businesses in the following format: XX-XXXXXXX
 * Mailing Address
 * Apartment/Suite Number
 * City
 * State
 * Zip
 * Password
 * Password Confirmation
 * Date Of Birth
 # After I enter all this information and click ‚ÄúContinue‚Äù, an organization is created, as well as an account for which that user is the admin</t>
  </si>
  <si>
    <t>GIV-59</t>
  </si>
  <si>
    <t>As a user, I want to be able to scan and track receipts for charitable donations</t>
  </si>
  <si>
    <t>Display Donor Giving History</t>
  </si>
  <si>
    <t>GIV-58</t>
  </si>
  <si>
    <t>GIV-57</t>
  </si>
  <si>
    <t>Mobile App Support</t>
  </si>
  <si>
    <t>GIV-56</t>
  </si>
  <si>
    <t>As a user, I want to receive push notifications</t>
  </si>
  <si>
    <t>As a user, I want to receive push notifications about campaigns I can donate to or have donated to be aware of campaign goals.
 !image-20240529-143642.png|width=302,height=615,alt="image-20240529-143642.png"!
 *Workflow*
 # As a user, when a campaign admin publishes a message for which push notifications is enabled, I receive a push notification on my phone of the title (or message?) of that post
 Push notifications for:
 -Post published
 -Campaign is created by org
 -Custom message reminders
 -Campaign updates - goal percentage
 -recurring donation reminder
 -donation thank you
 -campaign end thank you</t>
  </si>
  <si>
    <t>GIV-55</t>
  </si>
  <si>
    <t>Setup/Configure Cloudflare for Production</t>
  </si>
  <si>
    <t>GIV-54</t>
  </si>
  <si>
    <t>Setup/Configure APNs for Production</t>
  </si>
  <si>
    <t>GIV-53</t>
  </si>
  <si>
    <t>Setup/Configure FCM for Production</t>
  </si>
  <si>
    <t>GIV-52</t>
  </si>
  <si>
    <t>Setup/Configure Mailgun for Production</t>
  </si>
  <si>
    <t>GIV-51</t>
  </si>
  <si>
    <t>Setup/Configure Google Play for Production</t>
  </si>
  <si>
    <t>GIV-50</t>
  </si>
  <si>
    <t>Setup/Configure Testflight for Production</t>
  </si>
  <si>
    <t>GIV-49</t>
  </si>
  <si>
    <t>Setup/Configure Buddy for Production</t>
  </si>
  <si>
    <t>GIV-48</t>
  </si>
  <si>
    <t>Setup/Configure Terraform for Production</t>
  </si>
  <si>
    <t>GIV-47</t>
  </si>
  <si>
    <t>Setup/Configure AWS for Production</t>
  </si>
  <si>
    <t>GIV-46</t>
  </si>
  <si>
    <t>GIV-45</t>
  </si>
  <si>
    <t>Setup Cloudflare</t>
  </si>
  <si>
    <t>*Technical Statement:* In order to support DNS routing and monitoring, a Cloudflare project will be created for the Shift-Giving application.
 *Acceptance Criteria:*
 * A project should exist in Cloudflare for the Shift-Giving application
 * All engineers will have access to view and modify the Cloudflare settings for the Shift-Giving application</t>
  </si>
  <si>
    <t>GIV-43</t>
  </si>
  <si>
    <t>Configure FCM for Staging iOS Mobile App</t>
  </si>
  <si>
    <t>*Technical Statement:* In order to support automated push notifications for the iOS mobile app in the staging environment, the FCM account will be setup to support the Shift-Giving iOS app.
 *Acceptance Criteria:*
 * The iOS mobile app is able to receive push notifications from FCM for the Staging environment
 *Engineer Notes:*
 * Register iOS App
 * Import JSON file
 * Config/Keys
 * React Native Firebase messaging SDK
 * Request permission for push notifications on initial app load
 * Store FCM Token</t>
  </si>
  <si>
    <t>GIV-42</t>
  </si>
  <si>
    <t>Setup Mailgun</t>
  </si>
  <si>
    <t>*Technical Statement:* In order to support sending emails, a Mailgun account will be created for the Shift-Giving project.
 *Acceptance Criteria:*
 * A Mailgun project exists for the Shift-Giving application
 * All engineers have access to view and modify the Mailgun project</t>
  </si>
  <si>
    <t>GIV-41</t>
  </si>
  <si>
    <t>Setup Google Play</t>
  </si>
  <si>
    <t>*Technical Statement:* In order to support deploying the Android mobile app for the Shift-Giving project, an Google Play account will be utilized.
 *Acceptance Criteria:*
 * An Google Play account will be identified to be used for the Shift-Giving mobile app
 * All engineers will have access to view and modify the Google Play account
 *Engineer Notes:*
 * Check with the Infrastructure team if a new Google Play account needs to be created or an existing account can be utilized</t>
  </si>
  <si>
    <t>GIV-40</t>
  </si>
  <si>
    <t>As an org user, I want to make posts for a campaign</t>
  </si>
  <si>
    <t>As a campaign admin, I want to create posts to update donors or users that can see my organization about upcoming or ongoing campaigns.
 !image-20240529-140744.png|width=302,height=615,alt="image-20240529-140744.png"!
 !Screenshot 2024-06-05 at 1.08.02 PM-20240605-180808.png|width=934,height=695,alt="Screenshot 2024-06-05 at 1.08.02 PM-20240605-180808.png"!
 *Workflow*
 # As an org user, I can navigate to a campaign page on the web application.
 # I can create a post for now or schedule a post for later. If I post for now, the created post record will have a published flag we need to ensure is true.
 # I am presented with a screen that allows me to 
 #* Add description text
 #* Set ‚Äòinclude goal/progress graphic' option¬†
 #* Set push notification options
 #* Set up news feed specific content
 #* Set ‚Äòpersonalized‚Äô option (including donor info) (yes/no)
 #* Preview Post
 #* Save Post
 # I can fill out the form and send out a message that users will receive in app and via push notification and via email (depending on which options are selected).
 *Assumption*
 # No photo upload
 # No push notification
 # No video
 # No share to social
 # Goal progress bar component is done
 # No news feed specific
 # No personalization
 # Not scheduled for later</t>
  </si>
  <si>
    <t>GIV-39</t>
  </si>
  <si>
    <t>Setup Testflight</t>
  </si>
  <si>
    <t>*Technical Statement:* In order to support deploying the iOS Mobile App to Test Users, a Testflight account will be created with App Store Connect.
 *Acceptance Criteria:*
 * A Testflight account will be setup that is integrated with App Store Connect</t>
  </si>
  <si>
    <t>GIV-38</t>
  </si>
  <si>
    <t>Setup Buddy</t>
  </si>
  <si>
    <t>*Technical Statement:* In order to support deploying the Shift-Giving application to AWS infrastructure, a Buddy project needs to be setup.
 *Acceptance Criteria:*
 * A Buddy project exists for the Shift-Giving repository
 * All engineers have access to view and modify the Buddy project for Shift-Giving</t>
  </si>
  <si>
    <t>GIV-37</t>
  </si>
  <si>
    <t>Setup Terraform</t>
  </si>
  <si>
    <t>*Technical Statement:* In order to support creating infrastructure through code in AWS, a Terraform project needs to be created.
 *Acceptance Criteria:*
 * A Terraform project exists in Terraform Cloud for the Shift-Giving repository
 * Terraform has access to manage resources in the AWS account for the Shift-Giving repository
 * All engineers have access to Terraform Cloud and the ability to modify the Shift-Giving project
 *Engineer Notes:*
 * Since the Shift-Giving repository is meant to be a mono-repository, the infrastructure changes should exist within a sub-directory from the root of the repository using a tech-agnostic directory name
 ** It is suggested to use something like ‚Äúinfrastructure‚Äù</t>
  </si>
  <si>
    <t>GIV-36</t>
  </si>
  <si>
    <t>Setup AWS Account</t>
  </si>
  <si>
    <t>*Technical Statement:* In order to support starting to configure infrastructure, an AWS account should exist for the Shift-Giving project.
 *Acceptance Criteria:*
 * An AWS account exists that is to be used for the Shift-Giving infrastructure
 * All engineers have access to view and modify the AWS account resources
 *Engineer Notes:*
 * Check with the Infrastructure Team if a new AWS account needs to exist or if an existing one can be used</t>
  </si>
  <si>
    <t>GIV-35</t>
  </si>
  <si>
    <t>Setup CircleCI</t>
  </si>
  <si>
    <t>*Technical Statement:* In order to support building and testing the Shift-Giving application, a CircleCI project will need to be setup.
 *Acceptance Criteria:*
 * A CircleCI project exists for the Shift-Giving repository
 * All engineers have access to view and modify the CircleCI project</t>
  </si>
  <si>
    <t>GIV-34</t>
  </si>
  <si>
    <t>Setup Shift-Giving Repository</t>
  </si>
  <si>
    <t>*Technical Statement:* In order to support version control for the Shift-Giving project, a GitHub repository should exist.
 *Acceptance Criteria:*
 * A Shift-Giving repository exists in GitHub under the Shift Interactive organization
 * All engineers should have access to see and manage the repository
 *Engineer Notes:*
 * Only one repository should exist to be utilized as a mono-repository for the frontends and backend of the application
 ** This includes mobile-apps
 * No actual tech stacks need to be added for the card; should just be boilerplate</t>
  </si>
  <si>
    <t>GIV-33</t>
  </si>
  <si>
    <t>As an org user, I want to recieve/see received donations</t>
  </si>
  <si>
    <t>GIV Sprint 5</t>
  </si>
  <si>
    <t>As an org user, I want to be able to review received donations to a campaign I‚Äôve created so I can track who has given, similar to the history page for a donor user:
 !image-20240531-142547.png|width=357,height=744,alt="image-20240531-142547.png"!
 *Workflow*
 # From the campaign page (?), I select ‚ÄúDonations‚Äù and can view a list of donations made to my campaign.
 *Assumptions*
 # Should this searchable? No.
 # Should I be able to click into an individual donation? No.
 # Donations table exists and are being saved.</t>
  </si>
  <si>
    <t>GIV-32</t>
  </si>
  <si>
    <t>As a org admin, I want to start a campaign</t>
  </si>
  <si>
    <t>As an org admin, I want to start a campaign so that users can donate to it.
 After starting my campaign, it should be public and available for users to donate to (?)
 !Screenshot 2024-06-05 at 11.50.47 AM-20240605-165053.png|width=684,height=494,alt="Screenshot 2024-06-05 at 11.50.47 AM-20240605-165053.png"!
 *Workflow*
 # As a campaign admin, I can navigate to a campaign page where there is an option to ‚ÄúCreate a campaign‚Äù.
 # Choosing to ‚ÄúCreate campaign‚Äù takes me through a story design wizard where I can
 ## Create Title / Purpose
 ## Select Beneficiary¬†(Is this a list or text?)
 ## Set Giving Goal
 ##* Org can manually modify the goal amount to reflect offline donations
 ## Set Start date (scheduled start)
 ## Start button (immediate start)
 ## End button (immediate end)
 ## End date (scheduled end)
 Custom Messaging (v2)
 ## Set Thank You message text (per donation)
 ## Set Thank you message text (end of campaign)
 *Acceptance Criteria*
 The campaign is created in the database?</t>
  </si>
  <si>
    <t>GIV-31</t>
  </si>
  <si>
    <t>Infrastructure Setup</t>
  </si>
  <si>
    <t>Card to be broken out and maybe will be its own dedicated sprint. TODO: Get details of infrastructure conversations from WAG estimate documentation.</t>
  </si>
  <si>
    <t>GIV-30</t>
  </si>
  <si>
    <t>As a user, I should be able to make a single donation to a campaign with a new payment method</t>
  </si>
  <si>
    <t>As a user, when I click donate, I should be able to select an amount and enter payment details to donate to an organization so I can support them to the degree I want.
 !image-20240524-141743.png|width=770,height=532,alt="image-20240524-141743.png"!
 *Workflow*
 # As a user, when navigate to the donate page from a campaign, I should be presented with a form that has the following options:
 ## An amount with presets of ‚Äú50‚Äù, ‚Äú100‚Äù, ‚Äú150‚Äù and ‚Äú200‚Äù
 # After I select an amount, I should be redirected to a payment page that contains a form collecting the following information:
 ## Amount confirmation
 ## Payment Details (Handled by payment processor?‚Äù
 ## Submit
 # Upon a successful donation, I am presented with a confirmation/Thank You notification
 # If there as an error with my payment, I am presented with a alert informing me that my payment did not successfully complete.
 # Once donation is completed, we need to save the record of the donation, including donorId, amount, campaignId.
 Outstanding questions:
 # We‚Äôll be using [Authorize.net|https://developer.authorize.net/api/reference/index.html#recurring-billing] for payments
 *Assumptions*
 # There are org users, donor users, and campaigns.
 # This is a single one time payment using a new payment method
 *Technical Approach*
 # User fills out form and we use [Authorize Credit Card and Capture Previously Authorized Amount|https://developer.authorize.net/api/reference/index.html#payment-transactions-charge-a-credit-card] card endpoint to execute a transaction.
 *Testing*
 # Testing with a test payment method?</t>
  </si>
  <si>
    <t>GIV-29</t>
  </si>
  <si>
    <t>As a donor user, I should be able to visit an organization profile?</t>
  </si>
  <si>
    <t>As a user, I should be able to visit an organization profile so I can see their mission statement and donate.
 !Screenshot 2024-06-24 at 1.51.04 PM.png|width=388,height=830,alt="Screenshot 2024-06-24 at 1.51.04 PM.png"!
 *Workflow*
 # As a user, I should be able to click a profile from the organization list in Giv-28 to arrive at an organization page with a summary so I can read their mission statement and see their active campaigns.
 *Acceptance Criteria*
 # The organization profile picture displays
 # The summary/mission statement displays
 # A list of active campaigns displays
 *Assumptions*
 # We will display a list of active campaigns at the bottom of this section so users can click into them and donate.
 # There is no reusable component for a list of campaigns.
 # The campaign about me/summary info already exists in the DB</t>
  </si>
  <si>
    <t>GIV-28</t>
  </si>
  <si>
    <t>As a user, I should be able to see a list of active campaigns</t>
  </si>
  <si>
    <t>As a user, I should be able to view a list of campaigns from organizations I belong to so I can find places to donate to.
 !image-20240524-140137.png|width=242,height=519,alt="image-20240524-140137.png"!
 *Workflow*
 # As a user, when I navigate to the donate page, I should be able to see a list of organizations I can donate to.
 *Assumptions:*
 # No images in campaign list</t>
  </si>
  <si>
    <t>GIV-27</t>
  </si>
  <si>
    <t>*Value Story:* As an organization, we want to be able to create posts so that we can broadcast news and opportunities for donations from donors to support our work and cause.
 *Acceptance Criteria:*
 * When viewing an existing campaign, organizations are able to view/create posts for the specific campaign
 * When creating a post, a description should be captured
 * The option of adding photos to the post should exist
 * The option to include a goal and progress graphic should exist
 * The option to share to specific social media sites should exist
 * The option to create a push notification should exist
 * The ability to preview the post should exist
 *Technical Details:*
 * Integration with social media sites will need to be determined
 * Storage of photos will need to determined
 * Handling push notifications will need to be determined
 * Viewing/creating posts will only be able to completed on the web application
 *Assumptions:*
 * Posts will be able to be created, but not modified
 * Posts will be able to be deleted from the campaign, but push notifications and social media sites will not be changed
 *Design Details:*
 [https://www.figma.com/design/zuM410y2TiuwtbvyyZJvUP/Shift-Gives?node-id=773-30&amp;t=d5RViIr1MmI4Q1p6-0|https://www.figma.com/design/zuM410y2TiuwtbvyyZJvUP/Shift-Gives?node-id=773-30&amp;t=d5RViIr1MmI4Q1p6-0|smart-link]</t>
  </si>
  <si>
    <t>GIV-26</t>
  </si>
  <si>
    <t>*Value Story:* As an organization, we want to be able to manage existing campaigns so that we can keep opportunities for donations up to date.
 *Acceptance Criteria:*
 * When viewing a list of their existing campaigns, organizations are able to view/edit existing campaigns
 * The following information should be able to be updated during the process of editing a campaign:
 ** Title
 ** Purpose/Description
 ** Goal amount
 ** Start date of campaign
 ** End date of campaign
 ** Donation thank you message
 ** Campaign thank you message
 * The option to start/end the campaign should exist
 *Technical Details:*
 * Managing campaigns will only be able to completed on the web application
 *Design Details:*
 [https://www.figma.com/design/zuM410y2TiuwtbvyyZJvUP/Shift-Gives?node-id=773-30&amp;t=d5RViIr1MmI4Q1p6-0|https://www.figma.com/design/zuM410y2TiuwtbvyyZJvUP/Shift-Gives?node-id=773-30&amp;t=d5RViIr1MmI4Q1p6-0|smart-link]</t>
  </si>
  <si>
    <t>GIV-21</t>
  </si>
  <si>
    <t>*Value Story:* As an donor, I want the ability to browse organization campaigns so that I can determine which campaigns I have interest in donating to.
 *Acceptance Criteria:*
 * After logging into the application, donors should see campaign feeds that relate to the donor
 ** A campaign feed should exist for recommended campaigns based on previous donations made
 ** A campaign feed should exist campaigns for companies that local to the donor
 * When visiting the donate page, a list organization campaigns will 
 *Technical Details:*
 * 
 *Design Details:*
 [https://www.figma.com/design/zuM410y2TiuwtbvyyZJvUP/Shift-Gives?node-id=773-30&amp;t=d5RViIr1MmI4Q1p6-0|https://www.figma.com/design/zuM410y2TiuwtbvyyZJvUP/Shift-Gives?node-id=773-30&amp;t=d5RViIr1MmI4Q1p6-0|smart-link]</t>
  </si>
  <si>
    <t>GIV-18</t>
  </si>
  <si>
    <t>Evaluate need for component library or custom components</t>
  </si>
  <si>
    <t>chris.johnson</t>
  </si>
  <si>
    <t>6423639c67102fc717c21f97</t>
  </si>
  <si>
    <t>Evaluate whether we need a component library or custom component approach.</t>
  </si>
  <si>
    <t>GIV-17</t>
  </si>
  <si>
    <t>Push Notifications research</t>
  </si>
  <si>
    <t>ehren.fox</t>
  </si>
  <si>
    <t>60d9d4117d016900700bbaab</t>
  </si>
  <si>
    <t>Done</t>
  </si>
  <si>
    <t>GIV Sprint 0</t>
  </si>
  <si>
    <t>Form an initial recommendation for Push notification strategy. 
 *Native push in React Native*- 
 Firebase CM
 APNS
 (can look at Greekhouse Chefs example)
 *SMS*?</t>
  </si>
  <si>
    <t>Technical Discovery</t>
  </si>
  <si>
    <t>GIV-16</t>
  </si>
  <si>
    <t>Choose a payment provider</t>
  </si>
  <si>
    <t>Brian Healy</t>
  </si>
  <si>
    <t>6090022a7a30960069da652e</t>
  </si>
  <si>
    <t>What‚Äôs an acceptable fee structure?
 What features are critical to our service? 
 * Stripe - assumed too expensive
 * Vizypay - ?
 * Square
 * Paypal
 * Apple Pay/Google Pay
 * 
 AC: 
 Evaluate cost and capability of payment system options. Present discovery findings to the Shift Giving team so a final selection can be locked in. 
 Have been looking into alternatives, captured in [this WIP spreadsheet.|https://docs.google.com/spreadsheets/d/10hSqevj9QT8knqIdfAhnlZWmSif-fy_1/edit#gid=1993570804]</t>
  </si>
  <si>
    <t>GIV-15</t>
  </si>
  <si>
    <t>Donor</t>
  </si>
  <si>
    <t>GIV-14</t>
  </si>
  <si>
    <t>Tech Stack</t>
  </si>
  <si>
    <t>React Native, Ruby On Rails, Postgres?</t>
  </si>
  <si>
    <t>GIV-13</t>
  </si>
  <si>
    <t>Recommendation Engine</t>
  </si>
  <si>
    <t>Possiblities:
 * Use a library or service: [Recommendify|https://github.com/asmuth/recommendify], [https://recommendifyapp.com/|https://recommendifyapp.com/|smart-link], [Predictor|https://github.com/nyagato-00/predictor], [https://github.com/ankane/disco|https://github.com/ankane/disco|smart-link]
 ** Cons: Some of these operate based on a ratings system
 ** Some have less control over specific recommendations
 ** Cost
 ** Not proprietary (if this matters)
 * Build a recommendation system
 ** Use a learning model or matrix factorization to construct our own recommendation engine
 *** Cons: Difficult to manage or customize (i.e. eliminating or preventing single entries from being recommended in specific circumstances)
 ** Build a simple recommendation engine based on user‚Äôs location and specific rules defined by app admin
 *** Whitelisted companies to be recommended
 *** Allows more control
 *** CONS:
 **** Less automated
 **** More implementation for an admin portal</t>
  </si>
  <si>
    <t>GIV-12</t>
  </si>
  <si>
    <t>Travis Smith</t>
  </si>
  <si>
    <t>712020:74eee8f4-6806-4c68-a5ec-bb0d05e20f1c</t>
  </si>
  <si>
    <t>Mono-repository
 Environments
 * Production
 * Staging
 Application Architecture
 * Mobile Apps (Used by Donors)
 ** React Native
 *** iOS
 *** Android
 * Web Application (Used by Organizations/Administrators)
 ** Ruby on Rails
 * API (Used by Web Application/Mobile Apps)
 ** Ruby on Rails
 * Database (Used by API)
 ** Postgres
 AWS
 * ECS
 * ECR
 * RDS
 Terraform - Infrastructure as Code
 Buddy - Deployment Pipelines
 CircleCI - Build and Test Pipelines
 Mailgun - Sending Emails
 FCM/APNs - Sending Pushing Notifications (iOS/Android)
 Cloudflare - Configure DNS</t>
  </si>
  <si>
    <t>GIV-11</t>
  </si>
  <si>
    <t>As a donor, I want to 
 * see a list of contributions I‚Äôve made through all-time history.
 * select individual donations to view a transaction receipt I can download/print for tax purposes. 
 [https://www.irs.gov/charities-non-profits/charitable-organizations/charitable-contributions-written-acknowledgments|https://www.irs.gov/charities-non-profits/charitable-organizations/charitable-contributions-written-acknowledgments|smart-link]</t>
  </si>
  <si>
    <t>GIV-10</t>
  </si>
  <si>
    <t>[https://shiftinteractive.atlassian.net/browse/GIV-9|https://shiftinteractive.atlassian.net/browse/GIV-9|smart-link] 
 *Manage Campaigns*
 As a Campaign Admin, I want to
 * Create a 501(3)(c) organization in the app to start my donation campaign
 * Add/edit organization members to help manage my campaigns and upload content/updates/storytelling material
 * Send push notifications with donation drive and campaign updates to donors and potential/previous donors</t>
  </si>
  <si>
    <t>GIV-9</t>
  </si>
  <si>
    <t>*Admin*
 * Campaign List
 ** nested Post List per campaign
 * Archive Campaign
 * Hide/Remove post
 * _Post/Campaign Anayltics (later Epic)_
 * 
 *View Campaign Detail*
 * Campaign Title
 * Beneficiary
 * Total raised
 * % of goal
 * List of donations/donors
 ** Messaging summary
 ** Recognition sent?
 * _Post/Campaign Anayltics (later Epic)_
 !image-20240513-194632.png|width=662,height=468,alt="image-20240513-194632.png"!</t>
  </si>
  <si>
    <t>GIV-8</t>
  </si>
  <si>
    <t>*Description:* 
 As a donor interacting with a campaign post, I can complete a one-time payment donation to a specific beneficiary or cause. 
 * Select amount
 * Confirm amount
 * Submit donation
 * Donation confirmation
 ** Thank you message
 *Acceptance Criteria:*
 * When on an organization‚Äôs campaign page, the donor should have the ability to donate to the organization using a credit/debit card
 * When a donation is completed, the donor should receive a receipt via email
 * The donor should have the ability to turn on/off the ability to receive a receipt via email
 * The donor should have the ability to make the donation on a recurring basis or just one-time
 * The donor should have the ability to turn on/off the option to cover the transaction fees for the donation
 *Technical Details:*
 * A payment processor will need to be utilized
 * Donations will only be able to be completed via the Mobile apps
 !image-20240513-190307.png|width=328,height=719,alt="image-20240513-190307.png"!
 !image-20240513-190527.png|width=324,height=692,alt="image-20240513-190527.png"!</t>
  </si>
  <si>
    <t>GIV-7</t>
  </si>
  <si>
    <t>Publish Simple Campaign</t>
  </si>
  <si>
    <t>A Simple Campaign is a series of Posts set up by an Org and grouped by a common purpose. A campaign includes the ability to create, edit, schedule and publish - both the campaign &amp; the individual posts. 
 A Donor will be able to see posts iwith a call to action to donate to the campaign via their main news feed and via pushed messages.
 *Campaign*
 * Title / purpose defined by text field
 * Beneficiary - defined by text field
 * Goal - defined by text field
 * Start date (scheduled start)
 * Start button (immediate start)
 * End date (scheduled end)
 * End button (immediate end)
 * User can define Thank You message text (per donation)
 * User can define Thank you message text (end of campaign) 
 *Post*
 * upload one or multiple photos to a post
 * add description text
 * set ‚Äòinclude goal/progress graphic' option (later?)
 * set push notification options
 * set ‚Äòshare to social‚Äô options
 !image-20240513-185710.png|width=1079,height=748,alt="image-20240513-185710.png"!
 !image-20240513-185728.png|width=214,height=482,alt="image-20240513-185728.png"!</t>
  </si>
  <si>
    <t>GIV-6</t>
  </si>
  <si>
    <t>Efficient (&lt;2 min) sign-up for individuals
 * First Name
 * Last Name
 * Email address
 * Phone number
 * Set Password</t>
  </si>
  <si>
    <t>GIV-5</t>
  </si>
  <si>
    <t>Upload logo</t>
  </si>
  <si>
    <t>GIV-4</t>
  </si>
  <si>
    <t>Efficient (&lt;5 min) sign-up for 501(c)3 orgs 
 * Org Name
 * Owner First name
 * Owner Last name
 * Upload logo
 * Email address
 * About our Org
 * Nonprofit EIN 
 ** nine-digit tax ID number that IRS assigns to nonprofits, charities, organizations, and businesses in the following format: XX-XXXXXXX
 !image-20240515-204734.png|width=216,height=260,alt="image-20240515-204734.png"!
 !image-20240515-204721.png|width=181,height=267,alt="image-20240515-204721.png"!</t>
  </si>
  <si>
    <t>GIV-3</t>
  </si>
  <si>
    <t>Choose a video library</t>
  </si>
  <si>
    <t>Video:
 Bunny: [https://docs.bunny.net/reference/api-overview|https://docs.bunny.net/reference/api-overview|smart-link]
 * Transcoding
 * Storage
 * Video Player
 api.video: [https://api.video/|https://api.video/|smart-link]
 * Transcoding
 * CDN and Storage
 * Analytics
 * Cost: .000285 per minute of video stored, .0017 per minute video delivered
 CloudFlare: [https://www.cloudflare.com/products/cloudflare-stream/|https://www.cloudflare.com/products/cloudflare-stream/|smart-link]</t>
  </si>
  <si>
    <t>GIV-2</t>
  </si>
  <si>
    <t>Starting designs and mockups to inform front-end estimation
 +Identified June 4 by dev team:+ 
 {quote}*Donations - Mobile*
 Checking out with a saved payment method
 Saving a a payment method after a transaction
 Adding a payment method outside of a transaction
 Selecting from a list of saved payment methods
 Manage/End recurring donations
 *Campaigns and Posts - Web App*
 -Starting a campaign
 -Title/Purpose
 -Selecting Beneficiary
 -Organization Posts versus Campaign Posts
 -Set Giving Goal
 -Set Thank You Message Text (per donation)
 -Set Thank You Message Text (end of campaign)
 -Start Date
 -End Date
 -Start button
 -End button
 *Account Management*
 -Maybe we have notification/payment management here?
 *Posts - Web App*
 Post screen with fields
 -Add description text
 -Include goal/progress graphic
 -Set push notification options
 -Set up news feed specific content
 -Set ‚Äòpersonalized option‚Äô
 -Preview Post
 -Save Post{quote}
 {quote}*Organization Profile - Mobile*
 -Mission Statement
 -Photo
 -Active Campaigns/Recent Posts?
 -Opt out of notifications from this campaign{quote}
 {quote}*Campaign Posts - Mobile*
 -Photo
 -Title
 -Text
 -Opt out of notifications for this campaign? Or should this be on campaign screen, or both?
 Questions:¬†
 -What do we mean by news feed specific content?¬†
 -What does personalization look like?¬†
 -What does the preview look like?¬†
 -What does photo upload, management, formatting look like for a post?
 *Components*
 Goal/Progress bar graphic
 *Org Donation History*
 View list of donations for a campaign
 Questions: Are the donations searchable?
 *View a specific Donation*
 -Date
 -Amount
 -Recurring?
 -First Name
 -Last Name
 Questions: What fields?
 *Donor Donations History*
 View a single donation
 Questions: We have a figma for a donor viewing a history of their own donations, but what happened if they click into one?
 {quote}</t>
  </si>
  <si>
    <t>GIV-1</t>
  </si>
  <si>
    <t>Research and evaluation of potential architecture, integrations, etc.</t>
  </si>
  <si>
    <t>SUM of Hours</t>
  </si>
  <si>
    <t>Grand Total</t>
  </si>
  <si>
    <t>Total Project Hours: ~1300 hours (as specified by you)
Team: 2 engineers
Hours per Engineer per Week: 8 hours/day * 5 days/week = 40 hours/week
Total Team Capacity per Week: 2 engineers * 40 hours/week = 80 hours/week
Estimated Project Duration:
Divide the total project hours by the team's weekly capacity: ~1300 hours / 80 hours/week ≈ 16.75 weeks
Convert to Weeks and Days:
The project will take approximately 16 weeks and 3.75 days (0.75 weeks * 5 days/week)
Assuming the project starts on August 1st:
Add 16 weeks and 3.75 days.
Estimated completion date: November 26th.
Important Note: This is a rough estimate. Real-world projects often encounter unexpected delays or changes in scope that can affect the timeline.
Additional Notes:
I have assumed that the engineers will work 40 hours per week, 5 days per week. This is a standard work week for most full-time employees.
I have also assumed that the engineers will not take any vacation or sick days during the project. This is a conservative assumption, but it is necessary to make an accurate estimate of the project duration.
I have not factored in any holidays that may occur during the project. This is a minor factor that is unlikely to significantly affect the project timeline.
Conclusion:
Based on the assumptions above, it is estimated that the project will take approximately 16 weeks and 3.75 days to complete with a team of two engineers. This is a rough estimate, and the actual project duration may be shorter or longer.</t>
  </si>
  <si>
    <t>Total Project</t>
  </si>
  <si>
    <t xml:space="preserve">Unknown Modifier </t>
  </si>
  <si>
    <t>Total</t>
  </si>
  <si>
    <t>No Parent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</si>
</sst>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 h:mm"/>
    <numFmt numFmtId="165" formatCode="0.0"/>
  </numFmts>
  <fonts count="8">
    <font>
      <sz val="10.0"/>
      <color rgb="FF000000"/>
      <name val="Arial"/>
      <scheme val="minor"/>
    </font>
    <font>
      <sz val="12.0"/>
      <color rgb="FF000000"/>
      <name val="&quot;Aptos Narrow&quot;"/>
    </font>
    <font>
      <color theme="1"/>
      <name val="Arial"/>
      <scheme val="minor"/>
    </font>
    <font>
      <b/>
      <color theme="1"/>
      <name val="Arial"/>
      <scheme val="minor"/>
    </font>
    <font>
      <i/>
      <color theme="1"/>
      <name val="Arial"/>
    </font>
    <font>
      <color rgb="FFFFFFFF"/>
      <name val="Arial"/>
    </font>
    <font>
      <color theme="1"/>
      <name val="Arial"/>
    </font>
    <font>
      <b/>
      <color theme="1"/>
      <name val="Arial"/>
    </font>
  </fonts>
  <fills count="2">
    <fill>
      <patternFill patternType="none"/>
    </fill>
    <fill>
      <patternFill patternType="lightGray"/>
    </fill>
  </fills>
  <borders count="5">
    <border/>
    <border>
      <bottom style="thick">
        <color rgb="FF8093B3"/>
      </bottom>
    </border>
    <border>
      <right style="thin">
        <color rgb="FFFFFFFF"/>
      </right>
    </border>
    <border>
      <right style="thin">
        <color rgb="FFFFFFFF"/>
      </right>
      <bottom style="double">
        <color rgb="FF000000"/>
      </bottom>
    </border>
    <border>
      <bottom style="double">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shrinkToFit="0" vertical="bottom" wrapText="0"/>
    </xf>
    <xf borderId="0" fillId="0" fontId="1" numFmtId="0" xfId="0" applyAlignment="1" applyFont="1">
      <alignment readingOrder="0" vertical="bottom"/>
    </xf>
    <xf borderId="0" fillId="0" fontId="1" numFmtId="164" xfId="0" applyAlignment="1" applyFont="1" applyNumberFormat="1">
      <alignment horizontal="right" readingOrder="0" shrinkToFit="0" vertical="bottom" wrapText="0"/>
    </xf>
    <xf borderId="0" fillId="0" fontId="2" numFmtId="0" xfId="0" applyFont="1"/>
    <xf borderId="0" fillId="0" fontId="2" numFmtId="0" xfId="0" applyAlignment="1" applyFont="1">
      <alignment readingOrder="0"/>
    </xf>
    <xf borderId="0" fillId="0" fontId="3" numFmtId="0" xfId="0" applyAlignment="1" applyFont="1">
      <alignment readingOrder="0"/>
    </xf>
    <xf borderId="0" fillId="0" fontId="2" numFmtId="0" xfId="0" applyFont="1"/>
    <xf borderId="0" fillId="0" fontId="2" numFmtId="0" xfId="0" applyAlignment="1" applyFont="1">
      <alignment readingOrder="0"/>
    </xf>
    <xf borderId="0" fillId="0" fontId="2" numFmtId="10" xfId="0" applyAlignment="1" applyFont="1" applyNumberFormat="1">
      <alignment readingOrder="0"/>
    </xf>
    <xf borderId="0" fillId="0" fontId="3" numFmtId="0" xfId="0" applyFont="1"/>
    <xf borderId="0" fillId="0" fontId="3" numFmtId="165" xfId="0" applyFont="1" applyNumberFormat="1"/>
    <xf borderId="1" fillId="0" fontId="4" numFmtId="0" xfId="0" applyAlignment="1" applyBorder="1" applyFont="1">
      <alignment vertical="bottom"/>
    </xf>
    <xf borderId="1" fillId="0" fontId="5" numFmtId="0" xfId="0" applyAlignment="1" applyBorder="1" applyFont="1">
      <alignment vertical="bottom"/>
    </xf>
    <xf borderId="2" fillId="0" fontId="6" numFmtId="0" xfId="0" applyAlignment="1" applyBorder="1" applyFont="1">
      <alignment vertical="bottom"/>
    </xf>
    <xf borderId="0" fillId="0" fontId="6" numFmtId="0" xfId="0" applyAlignment="1" applyFont="1">
      <alignment horizontal="right" vertical="bottom"/>
    </xf>
    <xf borderId="3" fillId="0" fontId="6" numFmtId="0" xfId="0" applyAlignment="1" applyBorder="1" applyFont="1">
      <alignment vertical="bottom"/>
    </xf>
    <xf borderId="4" fillId="0" fontId="6" numFmtId="0" xfId="0" applyAlignment="1" applyBorder="1" applyFont="1">
      <alignment horizontal="right" vertical="bottom"/>
    </xf>
    <xf borderId="0" fillId="0" fontId="7" numFmtId="0" xfId="0" applyAlignment="1" applyFont="1">
      <alignment vertical="bottom"/>
    </xf>
    <xf borderId="0" fillId="0" fontId="7" numFmtId="0" xfId="0" applyAlignment="1" applyFont="1">
      <alignment horizontal="right"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52" sheet="Jira Export 071024"/>
  </cacheSource>
  <cacheFields>
    <cacheField name="Issue Type" numFmtId="0">
      <sharedItems>
        <s v="Task"/>
        <s v="Epic"/>
      </sharedItems>
    </cacheField>
    <cacheField name="Issue key" numFmtId="0">
      <sharedItems>
        <s v="GIV-158"/>
        <s v="GIV-157"/>
        <s v="GIV-156"/>
        <s v="GIV-155"/>
        <s v="GIV-154"/>
        <s v="GIV-153"/>
        <s v="GIV-152"/>
        <s v="GIV-151"/>
        <s v="GIV-150"/>
        <s v="GIV-149"/>
        <s v="GIV-148"/>
        <s v="GIV-147"/>
        <s v="GIV-146"/>
        <s v="GIV-145"/>
        <s v="GIV-144"/>
        <s v="GIV-143"/>
        <s v="GIV-142"/>
        <s v="GIV-141"/>
        <s v="GIV-140"/>
        <s v="GIV-139"/>
        <s v="GIV-138"/>
        <s v="GIV-137"/>
        <s v="GIV-136"/>
        <s v="GIV-135"/>
        <s v="GIV-134"/>
        <s v="GIV-133"/>
        <s v="GIV-132"/>
        <s v="GIV-131"/>
        <s v="GIV-130"/>
        <s v="GIV-129"/>
        <s v="GIV-128"/>
        <s v="GIV-127"/>
        <s v="GIV-126"/>
        <s v="GIV-125"/>
        <s v="GIV-124"/>
        <s v="GIV-123"/>
        <s v="GIV-122"/>
        <s v="GIV-121"/>
        <s v="GIV-120"/>
        <s v="GIV-119"/>
        <s v="GIV-118"/>
        <s v="GIV-117"/>
        <s v="GIV-116"/>
        <s v="GIV-115"/>
        <s v="GIV-114"/>
        <s v="GIV-113"/>
        <s v="GIV-112"/>
        <s v="GIV-111"/>
        <s v="GIV-110"/>
        <s v="GIV-109"/>
        <s v="GIV-108"/>
        <s v="GIV-107"/>
        <s v="GIV-106"/>
        <s v="GIV-105"/>
        <s v="GIV-104"/>
        <s v="GIV-103"/>
        <s v="GIV-102"/>
        <s v="GIV-101"/>
        <s v="GIV-100"/>
        <s v="GIV-99"/>
        <s v="GIV-98"/>
        <s v="GIV-97"/>
        <s v="GIV-96"/>
        <s v="GIV-95"/>
        <s v="GIV-94"/>
        <s v="GIV-93"/>
        <s v="GIV-92"/>
        <s v="GIV-91"/>
        <s v="GIV-90"/>
        <s v="GIV-89"/>
        <s v="GIV-88"/>
        <s v="GIV-87"/>
        <s v="GIV-86"/>
        <s v="GIV-85"/>
        <s v="GIV-84"/>
        <s v="GIV-83"/>
        <s v="GIV-82"/>
        <s v="GIV-81"/>
        <s v="GIV-80"/>
        <s v="GIV-79"/>
        <s v="GIV-78"/>
        <s v="GIV-77"/>
        <s v="GIV-76"/>
        <s v="GIV-75"/>
        <s v="GIV-74"/>
        <s v="GIV-73"/>
        <s v="GIV-72"/>
        <s v="GIV-71"/>
        <s v="GIV-70"/>
        <s v="GIV-69"/>
        <s v="GIV-68"/>
        <s v="GIV-67"/>
        <s v="GIV-66"/>
        <s v="GIV-65"/>
        <s v="GIV-64"/>
        <s v="GIV-63"/>
        <s v="GIV-62"/>
        <s v="GIV-61"/>
        <s v="GIV-60"/>
        <s v="GIV-59"/>
        <s v="GIV-58"/>
        <s v="GIV-57"/>
        <s v="GIV-56"/>
        <s v="GIV-55"/>
        <s v="GIV-54"/>
        <s v="GIV-53"/>
        <s v="GIV-52"/>
        <s v="GIV-51"/>
        <s v="GIV-50"/>
        <s v="GIV-49"/>
        <s v="GIV-48"/>
        <s v="GIV-47"/>
        <s v="GIV-46"/>
        <s v="GIV-45"/>
        <s v="GIV-43"/>
        <s v="GIV-42"/>
        <s v="GIV-41"/>
        <s v="GIV-40"/>
        <s v="GIV-39"/>
        <s v="GIV-38"/>
        <s v="GIV-37"/>
        <s v="GIV-36"/>
        <s v="GIV-35"/>
        <s v="GIV-34"/>
        <s v="GIV-33"/>
        <s v="GIV-32"/>
        <s v="GIV-31"/>
        <s v="GIV-30"/>
        <s v="GIV-29"/>
        <s v="GIV-28"/>
        <s v="GIV-27"/>
        <s v="GIV-26"/>
        <s v="GIV-21"/>
        <s v="GIV-18"/>
        <s v="GIV-17"/>
        <s v="GIV-16"/>
        <s v="GIV-15"/>
        <s v="GIV-14"/>
        <s v="GIV-13"/>
        <s v="GIV-12"/>
        <s v="GIV-11"/>
        <s v="GIV-10"/>
        <s v="GIV-9"/>
        <s v="GIV-8"/>
        <s v="GIV-7"/>
        <s v="GIV-6"/>
        <s v="GIV-5"/>
        <s v="GIV-4"/>
        <s v="GIV-3"/>
        <s v="GIV-2"/>
        <s v="GIV-1"/>
      </sharedItems>
    </cacheField>
    <cacheField name="Issue id" numFmtId="0">
      <sharedItems containsSemiMixedTypes="0" containsString="0" containsNumber="1" containsInteger="1">
        <n v="63388.0"/>
        <n v="63387.0"/>
        <n v="63386.0"/>
        <n v="63385.0"/>
        <n v="63384.0"/>
        <n v="63383.0"/>
        <n v="63382.0"/>
        <n v="63381.0"/>
        <n v="63380.0"/>
        <n v="63379.0"/>
        <n v="63378.0"/>
        <n v="63331.0"/>
        <n v="63330.0"/>
        <n v="63322.0"/>
        <n v="63310.0"/>
        <n v="63309.0"/>
        <n v="63308.0"/>
        <n v="63307.0"/>
        <n v="63306.0"/>
        <n v="63305.0"/>
        <n v="63291.0"/>
        <n v="63290.0"/>
        <n v="63289.0"/>
        <n v="63288.0"/>
        <n v="63287.0"/>
        <n v="63286.0"/>
        <n v="63285.0"/>
        <n v="63284.0"/>
        <n v="63283.0"/>
        <n v="63282.0"/>
        <n v="63281.0"/>
        <n v="63280.0"/>
        <n v="63279.0"/>
        <n v="63278.0"/>
        <n v="63277.0"/>
        <n v="63276.0"/>
        <n v="63275.0"/>
        <n v="63274.0"/>
        <n v="63273.0"/>
        <n v="63271.0"/>
        <n v="63270.0"/>
        <n v="63269.0"/>
        <n v="63268.0"/>
        <n v="63267.0"/>
        <n v="63266.0"/>
        <n v="63265.0"/>
        <n v="63264.0"/>
        <n v="62750.0"/>
        <n v="62749.0"/>
        <n v="62748.0"/>
        <n v="62747.0"/>
        <n v="62746.0"/>
        <n v="62745.0"/>
        <n v="62680.0"/>
        <n v="62679.0"/>
        <n v="62678.0"/>
        <n v="62677.0"/>
        <n v="62675.0"/>
        <n v="62674.0"/>
        <n v="62673.0"/>
        <n v="62671.0"/>
        <n v="62670.0"/>
        <n v="62669.0"/>
        <n v="62668.0"/>
        <n v="62667.0"/>
        <n v="62666.0"/>
        <n v="62665.0"/>
        <n v="62664.0"/>
        <n v="62659.0"/>
        <n v="62656.0"/>
        <n v="62655.0"/>
        <n v="62653.0"/>
        <n v="62651.0"/>
        <n v="62649.0"/>
        <n v="62647.0"/>
        <n v="62646.0"/>
        <n v="62645.0"/>
        <n v="62644.0"/>
        <n v="62643.0"/>
        <n v="62642.0"/>
        <n v="62641.0"/>
        <n v="62640.0"/>
        <n v="62639.0"/>
        <n v="62638.0"/>
        <n v="62632.0"/>
        <n v="62631.0"/>
        <n v="62630.0"/>
        <n v="62629.0"/>
        <n v="62626.0"/>
        <n v="62601.0"/>
        <n v="62600.0"/>
        <n v="62593.0"/>
        <n v="62592.0"/>
        <n v="62591.0"/>
        <n v="62588.0"/>
        <n v="62587.0"/>
        <n v="62586.0"/>
        <n v="62585.0"/>
        <n v="62582.0"/>
        <n v="62581.0"/>
        <n v="62580.0"/>
        <n v="62579.0"/>
        <n v="62576.0"/>
        <n v="62574.0"/>
        <n v="62573.0"/>
        <n v="62572.0"/>
        <n v="62571.0"/>
        <n v="62570.0"/>
        <n v="62569.0"/>
        <n v="62568.0"/>
        <n v="62567.0"/>
        <n v="62566.0"/>
        <n v="62565.0"/>
        <n v="62564.0"/>
        <n v="62562.0"/>
        <n v="62561.0"/>
        <n v="62560.0"/>
        <n v="62559.0"/>
        <n v="62558.0"/>
        <n v="62557.0"/>
        <n v="62556.0"/>
        <n v="62555.0"/>
        <n v="62554.0"/>
        <n v="62553.0"/>
        <n v="62542.0"/>
        <n v="62541.0"/>
        <n v="62539.0"/>
        <n v="62538.0"/>
        <n v="62537.0"/>
        <n v="62536.0"/>
        <n v="62483.0"/>
        <n v="62482.0"/>
        <n v="62477.0"/>
        <n v="62461.0"/>
        <n v="62460.0"/>
        <n v="62459.0"/>
        <n v="62458.0"/>
        <n v="62457.0"/>
        <n v="62456.0"/>
        <n v="62450.0"/>
        <n v="62449.0"/>
        <n v="62448.0"/>
        <n v="62447.0"/>
        <n v="62446.0"/>
        <n v="62445.0"/>
        <n v="62444.0"/>
        <n v="62443.0"/>
        <n v="62442.0"/>
        <n v="62441.0"/>
        <n v="62428.0"/>
        <n v="62427.0"/>
      </sharedItems>
    </cacheField>
    <cacheField name="Summary" numFmtId="0">
      <sharedItems>
        <s v="As a donor user, I want to be able to see all campaigns"/>
        <s v="As a donor user, I want to be able to see all campaigns of my organizations"/>
        <s v="As a donor user, I want to see a feed of campaigns and new posts on my home page"/>
        <s v="As an org user, I want to manage my account"/>
        <s v="Production Environment Setup"/>
        <s v="As an org user, I want to be able to view my posts for a campaign"/>
        <s v="SMS Notifications Worker"/>
        <s v="Email Notifications Worker"/>
        <s v="Messaging Triggers"/>
        <s v="Organization Dashboard"/>
        <s v="Organization Landing Page on Web App"/>
        <s v="Backend Push Notifications: Setup notifications in Ruby App"/>
        <s v="Front-End Push Notifications: Display and Process"/>
        <s v="As a user, I should be able to reset password"/>
        <s v="Next Phase UI/UX"/>
        <s v="Super Admin"/>
        <s v="User Subscriptions"/>
        <s v="User Login"/>
        <s v="User Mgmt/Profile"/>
        <s v="Org Mgmt/Profile"/>
        <s v="Configure Buddy to Use Fastlane for Automated Deployment of Android Mobile App"/>
        <s v="Setup Staging Distribution Pipeline in Google Play"/>
        <s v="Configure FCM for Staging Android Mobile App"/>
        <s v="Setup FCM"/>
        <s v="Configure Buddy to Use Fastlane for Automated Deployment of iOS Mobile App"/>
        <s v="Configure Testflight for Staging"/>
        <s v="Setup Staging Distribution Pipeline in App Store Connect"/>
        <s v="Configure Buddy to Deploy Docker Container to ECR for Staging"/>
        <s v="Configure AWS ECR for Staging Rails Web Application"/>
        <s v="Configure AWS ELB for Staging Rails Web Application"/>
        <s v="Configure Cloudflare for the Staging URL"/>
        <s v="Setup SSL Certificate for Staging Web Application"/>
        <s v="Configure AWS ECS for Staging Rails Web Application"/>
        <s v="Docker Container for Rails Web Application"/>
        <s v="Configure AWS RDS for Staging Postgres Database"/>
        <s v="Identify Branching Strategy"/>
        <s v="Configure Build/Test Pipeline in CircleCI"/>
        <s v="Add Integration/Unit Automated Test Library/Framework to React Native Application"/>
        <s v="Add Integration/Unit Automated Test Library/Framework to Rails Web Application"/>
        <s v="Add Acceptance Automated Test Library/Framework"/>
        <s v="Identify Test Automation Libraries/Frameworks"/>
        <s v="Add React Native Application to Repository"/>
        <s v="Add Rails Web Application to Repository"/>
        <s v="Set up Jumpstart Multitenancy"/>
        <s v="As a donor user, I want to see a feed of posts"/>
        <s v="Setup Staging Pipeline in Buddy"/>
        <s v="Configure Mailgun for Staging Environment"/>
        <s v="As a donor user, I want to be able to see campaign page with a list of previous posts"/>
        <s v="As an org user, I want to be able edit a post"/>
        <s v="Org profile - as viewed by donor visiting"/>
        <s v="As an org admin, I want to be able to create/update my organization profile"/>
        <s v="User flow - Sign-up via SG code"/>
        <s v="As a donor user, I want to be able to add new organizations after I have already signed up for the app"/>
        <s v="Setup App Store Connect"/>
        <s v="As an org admin, I need to be able to see users associated with my organization and grant them permissions"/>
        <s v="As a new user, I want to be able to sign up as an org member"/>
        <s v="Push Notification Worker (Donations)"/>
        <s v="Push Notification Worker (Posts)"/>
        <s v="As an org user, I want to be able to set groups for push notifications when I create a post"/>
        <s v="As a donor user, I want to receive a push notification when a campaign publishes a post"/>
        <s v="As a donor user, I want to see &quot;Share to Social&quot; options on campaign posts I recieve"/>
        <s v="As an org user, I want to be able to schedule a post for later"/>
        <s v="As an org user, I want to upload multiple photos"/>
        <s v="As a shift Admin, I want to include videos in posts"/>
        <s v="As a shift Admin, I want to be able to upload one or more photos to a post"/>
        <s v="As a shift Admin, I want to make posts for a campaign"/>
        <s v="As a Shift admin, I want to see donations for a campaign"/>
        <s v="As a Shift Admin, I want to start a campaign"/>
        <s v="Multi-tenancy approaches"/>
        <s v="Add FCM Token to User Table"/>
        <s v="Site Admin"/>
        <s v="As a user, I should be able to manage my saved payment methods from the payment page"/>
        <s v="As a user, I should be able to select from several saved payment methods"/>
        <s v="As a user, I should be able to save a new payment method for a single donation"/>
        <s v="As a user, I should be able to make a single donation to a campaign with a saved payment method"/>
        <s v="As a user, I should be able to end a subscription I've started"/>
        <s v="SPIKE: Security concerns for payment method calls from front-end"/>
        <s v="As an org user, I want to be able to personalize campaign posts"/>
        <s v="As an org user, I want to preview a campaign post while I am making it"/>
        <s v="Goal progress bar"/>
        <s v="Configure AWS S3 for Staging Photo Storage"/>
        <s v="As a user, whose campaigns should we be seeing?"/>
        <s v="As a user, I should be able to sign in"/>
        <s v="As a user, I should be able to make a recurring donation to a campaign"/>
        <s v="As a user, I want to verify my email"/>
        <s v="As a donor user, I want to manage my account"/>
        <s v="As an org admin, I want to grant users in my org permissions to manage campaigns"/>
        <s v="As an org admin, I want to add users to my org"/>
        <s v="As a user, I should receive an email confirmation upon a completing a donation"/>
        <s v="As an donor user, I want to be able to sign up using my apple account"/>
        <s v="As a donor user, I want to be able to sign up using my google account"/>
        <s v="As an org user, I want to be able to sign up using my apple account"/>
        <s v="As an org user, I want to be able to sign in using my google account"/>
        <s v="As a donor user, I want to be able to sign up"/>
        <s v="As an org user, I want to be able to upload one photo to a post"/>
        <s v="As an org user, I want to be able to set push notification options for a campaign post"/>
        <s v="As an org user, I want to be able to set &quot;Share to social&quot; options when I make a post"/>
        <s v="As an org user, I want to include videos in posts"/>
        <s v="I want to be able to sign up as a new org"/>
        <s v="As a user, I want to be able to scan and track receipts for charitable donations"/>
        <s v="Push notifications"/>
        <s v="Mobile App Support"/>
        <s v="As a user, I want to receive push notifications"/>
        <s v="Setup/Configure Cloudflare for Production"/>
        <s v="Setup/Configure APNs for Production"/>
        <s v="Setup/Configure FCM for Production"/>
        <s v="Setup/Configure Mailgun for Production"/>
        <s v="Setup/Configure Google Play for Production"/>
        <s v="Setup/Configure Testflight for Production"/>
        <s v="Setup/Configure Buddy for Production"/>
        <s v="Setup/Configure Terraform for Production"/>
        <s v="Setup/Configure AWS for Production"/>
        <s v="Prod environment"/>
        <s v="Setup Cloudflare"/>
        <s v="Configure FCM for Staging iOS Mobile App"/>
        <s v="Setup Mailgun"/>
        <s v="Setup Google Play"/>
        <s v="As an org user, I want to make posts for a campaign"/>
        <s v="Setup Testflight"/>
        <s v="Setup Buddy"/>
        <s v="Setup Terraform"/>
        <s v="Setup AWS Account"/>
        <s v="Setup CircleCI"/>
        <s v="Setup Shift-Giving Repository"/>
        <s v="As an org user, I want to recieve/see received donations"/>
        <s v="As a org admin, I want to start a campaign"/>
        <s v="Infrastructure Setup"/>
        <s v="As a user, I should be able to make a single donation to a campaign with a new payment method"/>
        <s v="As a donor user, I should be able to visit an organization profile?"/>
        <s v="As a user, I should be able to see a list of active campaigns"/>
        <s v="Publish Post"/>
        <s v="Manage Campaign"/>
        <s v="Browse Campaigns"/>
        <s v="Evaluate need for component library or custom components"/>
        <s v="Push Notifications research"/>
        <s v="Choose a payment provider"/>
        <s v="Donor"/>
        <s v="Tech Stack"/>
        <s v="Recommendation Engine"/>
        <s v="MVP staging environment"/>
        <s v="Display Donor Giving History"/>
        <s v="Campaign Admin"/>
        <s v="Accept Donation"/>
        <s v="Publish Simple Campaign"/>
        <s v="Donor Sign-up"/>
        <s v="Upload logo"/>
        <s v="Org Sign-up"/>
        <s v="Choose a video library"/>
        <s v="MVP UI/UX"/>
        <s v="Technical Discovery"/>
      </sharedItems>
    </cacheField>
    <cacheField name="Assignee" numFmtId="0">
      <sharedItems containsBlank="1">
        <m/>
        <s v="cliff.thompson"/>
        <s v="chris.johnson"/>
        <s v="ehren.fox"/>
        <s v="Brian Healy"/>
        <s v="Travis Smith"/>
      </sharedItems>
    </cacheField>
    <cacheField name="Assignee Id" numFmtId="0">
      <sharedItems containsBlank="1">
        <m/>
        <s v="619bfad9657a050070750d97"/>
        <s v="6423639c67102fc717c21f97"/>
        <s v="60d9d4117d016900700bbaab"/>
        <s v="6090022a7a30960069da652e"/>
        <s v="712020:74eee8f4-6806-4c68-a5ec-bb0d05e20f1c"/>
      </sharedItems>
    </cacheField>
    <cacheField name="Status" numFmtId="0">
      <sharedItems>
        <s v="To Do"/>
        <s v="Done"/>
      </sharedItems>
    </cacheField>
    <cacheField name="Sprint" numFmtId="0">
      <sharedItems containsBlank="1">
        <s v="GIV Sprint 7"/>
        <s v="GIV Sprint 8"/>
        <s v="Giv Sprint 13"/>
        <s v="GIV Sprint 3"/>
        <s v="GIV Sprint 6"/>
        <s v="Giv Sprint 11"/>
        <s v="Giv Sprint 10"/>
        <m/>
        <s v="GIV Sprint 9"/>
        <s v="GIV Sprint 1"/>
        <s v="GIV Sprint 2"/>
        <s v="Giv Sprint 12"/>
        <s v="Next Phase"/>
        <s v="GIV Sprint 4"/>
        <s v="GIV Sprint 5"/>
        <s v="GIV Sprint 0"/>
      </sharedItems>
    </cacheField>
    <cacheField name="Status Category Changed">
      <sharedItems containsDate="1" containsMixedTypes="1">
        <s v="##########"/>
        <d v="2024-06-05T08:35:00Z"/>
        <d v="2024-06-04T09:21:00Z"/>
        <d v="2024-06-04T09:09:00Z"/>
      </sharedItems>
    </cacheField>
    <cacheField name="Hours" numFmtId="0">
      <sharedItems containsString="0" containsBlank="1" containsNumber="1" containsInteger="1">
        <n v="16.0"/>
        <n v="24.0"/>
        <n v="90.0"/>
        <n v="18.0"/>
        <n v="80.0"/>
        <n v="32.0"/>
        <m/>
        <n v="6.0"/>
        <n v="8.0"/>
        <n v="2.0"/>
        <n v="1.0"/>
        <n v="12.0"/>
        <n v="4.0"/>
        <n v="5.0"/>
        <n v="3.0"/>
        <n v="40.0"/>
        <n v="50.0"/>
      </sharedItems>
    </cacheField>
    <cacheField name="Description" numFmtId="0">
      <sharedItems containsBlank="1">
        <m/>
        <s v="!image-20240710-154220.png|width=297,height=625,alt=&quot;image-20240710-154220.png&quot;!"/>
        <s v="!image-20240710-153127.png|width=921,height=679,alt=&quot;image-20240710-153127.png&quot;!&#10; &#10; *Assumptions*&#10; &#10; # We aren‚Äôt editing posts"/>
        <s v="This will be a worker that receives SMS notifications and sends them out via twilio or something"/>
        <s v="This will be a worker that received email notifications and sends them out via sendgrid or something"/>
        <s v="Create event hooks for donor user actions like campaign donation, org donation, joining an organization, etc.&#10; &#10; &#10; &#10; -This includes potential email, sms, or push notifications for all of the above"/>
        <s v="!image-20240710-152014.png|width=832,height=669,alt=&quot;image-20240710-152014.png&quot;!"/>
        <s v="!image-20240710-151547.png|width=416,height=798,alt=&quot;image-20240710-151547.png&quot;!"/>
        <s v="Store FCM Token in our DB&#10; &#10; Frontend: Process and display notifications&#10; &#10; Backend: Setup notifications in Ruby app&#10; &#10; when notifications are fired send them to the proper tokens/people&#10; &#10; &#10; &#10; *Technical Implementation*&#10; &#10; # Add FCM token in User table i"/>
        <s v="Use Devise!&#10; &#10; *Workflow*&#10; &#10; # As a user, I need to be able to reset my password&#10; # On the log-in screen, if I select ‚ÄúForgot Password?‚Äù, I can enter my email&#10; # An email is sent to me that allows me to click a link to reset my password&#10; # I enter my "/>
        <s v="mobile specific donor view&#10; &#10; Notifications Mgmt&#10; Subscriptions Mgmt&#10; &#10; Account Settings&#10; &#10; Security"/>
        <s v="Display a tabbed/swipable view of the Organization profile with &#10; &#10; About&#10; Active Campaigns&#10; Published Posts&#10; _Recent public donations_"/>
        <s v="*Technical Statement:* In order to support manually testing the Android Mobile App with Test Users, the Staging Android mobile app will be automatically deployed through Buddy using Fastlane.&#10; &#10; *Acceptance Criteria:*&#10; &#10; * The Buddy pipeline for Staging h"/>
        <s v="*Technical Statement:* In order to support deploying the React Native application for Android for the Staging environment, we need to create a distribution pipeline in Google Play.&#10; &#10; *Acceptance Criteria:*&#10; &#10; * A distribution pipeline exists for the Stag"/>
        <s v="*Technical Statement:* In order to support automated push notifications for the Android mobile app in the staging environment, the FCM account will be setup to support the Shift-Giving Android app.&#10; &#10; *Acceptance Criteria:*&#10; &#10; * The Android mobile app is "/>
        <s v="*Technical Statement:* In order to support automated push notifications, a Firebase Cloud Messaging account will be utilized for the Shift-Giving application.&#10; &#10; *Acceptance Criteria:*&#10; &#10; * An FCM account will be identified for use with the Shift-Giving a"/>
        <s v="*Technical Statement:* In order to support manually testing the iOS Mobile App with Test Users, the Staging iOS mobile app will be automatically deployed through Buddy using Fastlane.&#10; &#10; *Acceptance Criteria:*&#10; &#10; * The Buddy pipeline for Staging has an ac"/>
        <s v="*Technical Statement:* In order to support manually testing the iOS Mobile App with Test Users, the Staging iOS Mobile App will deployed to Testflight.&#10; &#10; *Acceptance Criteria:*&#10; &#10; * The staging version of the iOS mobile app is deployed to Testflight&#10; * T"/>
        <s v="*Technical Statement:* In order to support deploying the React Native application for iOS for the Staging environment, we need to create a distribution pipeline in App Store Connect.&#10; &#10; *Acceptance Criteria:*&#10; &#10; * A distribution pipeline exists for the St"/>
        <s v="*Technical Statement:* In order to support deploying the Rails Web Application for the Staging Environment, an action will be created in the Buddy staging pipeline to deploy the docker file to the AWS ECR instance.&#10; &#10; *Acceptance Criteria:*&#10; &#10; * An action"/>
        <s v="*Technical Statement:* In order to support deploying the Rails Web Application for the Staging Environment, an AWS ECR resource needs to be created for Rails docker container.&#10; &#10; *Acceptance Criteria:*&#10; &#10; * An AWS Elastic Container Registry resource exist"/>
        <s v="*Technical Statement:* In order to support reaching the AWS ECS Web Application for the Staging Environment, an Elastic Load Balancer resource will be created in AWS.&#10; &#10; *Acceptance Criteria:*&#10; &#10; * An Elastic Load Balancer resource should exist in AWS for"/>
        <s v="*Technical Statement:* In order to support DNS routing for the Staging URL of the Shift-Giving web application, a DNS route will be created in Cloudflare.&#10; &#10; *Acceptance Criteria:*&#10; &#10; * A DNS route will exist in Cloudflare for the Shift-Giving Staging URL"/>
        <s v="*Technical Statement:* In order to support deploying the Staging environment Shift-Giving Web Application, an SSL certificate will be created.&#10; &#10; *Acceptance Criteria:*&#10; &#10; * An SSL certificate will be generated to be used for the Shift-Giving staging URL"/>
        <s v="*Technical Statement:* In order to support deploying the Rails Web Application for the Staging Environment, an AWS ECS resource needs to be created for Rails docker container.&#10; &#10; *Acceptance Criteria:*&#10; &#10; * An AWS ECS resource exists for running the Rails"/>
        <s v="*Technical Statement:* In order to support deploying the Rails Web Application, a docker container will need to be created for running the Rails Web Application.&#10; &#10; *Acceptance Criteria:*&#10; &#10; * A docker container exists for running the Rails Web Applicatio"/>
        <s v="*Technical Statement:* In order to support storing data in a database for the Staging environment, a database will need to be configured in AWS RDS.&#10; &#10; *Acceptance Criteria:*&#10; &#10; * A Postgres database instance should be configured in RDS through Terraform "/>
        <s v="*Technical Statement:* In order to support build, test, and deployment pipelines, a branching strategy will need to be determined.&#10; &#10; *Acceptance Criteria:*&#10; &#10; * A branching strategy is determined and documented so that it is available to all engineers"/>
        <s v="*Technical Statement:* In order to support building and testing changes made within the Shift-Giving repository, a build/test pipeline will need to be created.&#10; &#10; *Acceptance Criteria:*&#10; &#10; * A build and test pipeline should exist in CircleCI for the Shift"/>
        <s v="*Technical Statement:* In order to support creating automated integration/unit tests, a library/framework will need to setup for the React Native Application.&#10; &#10; *Acceptance Criteria:*&#10; &#10; * A library/framework will exist for creating and executing automat"/>
        <s v="*Technical Statement:* In order to support creating automated integration/unit tests, a library/framework will need to setup for the Rails Web Application.&#10; &#10; *Acceptance Criteria:*&#10; &#10; * A library/framework will exist for creating and executing automated "/>
        <s v="*Technical Statement:* In order to support creating automated acceptance tests, a library/framework will need to setup.&#10; &#10; *Acceptance Criteria:*&#10; &#10; * A library/framework will exist for creating and executing automated acceptance tests"/>
        <s v="*Technical Statement:* In order to support automated tests for the entire application, a testing strategy will be needed and automated testing libraries/frameworks will need to be identified.&#10; &#10; *Acceptance Criteria:*&#10; &#10; * A testing strategy for the entir"/>
        <s v="*Technical Statement:* In order to support starting development on the React Native application, a React Native Mobile Application needs to exist in Shift-Giving repository.&#10; &#10; *Acceptance Criteria:*&#10; &#10; * A boilerplate React Native project should exist in"/>
        <s v="*Technical Statement:* In order to support starting development on the Ruby on Rails application, a Rails Web Application needs to exist in Shift-Giving repository.&#10; &#10; *Acceptance Criteria:*&#10; &#10; * A boilerplate Ruby on Rails project should exist in the Shi"/>
        <s v="*Acceptance Criteria*&#10; &#10; # I can log in as an admin account user&#10; &#10; [https://jumpstartrails.com/docs/installation|https://jumpstartrails.com/docs/installation|smart-link]"/>
        <s v="*Technical Statement:* In order to support deploying the Rails Web Application for the Staging Environment, a pipeline will be created in Buddy for staging.&#10; &#10; *Acceptance Criteria:*&#10; &#10; * A pipeline will exist in the Shift-Giving project in Buddy for the "/>
        <s v="*Technical Statement:* In order to support sending emails for the Staging environment, the Mailgun project for Shift-Giving will be configured.&#10; &#10; *Acceptance Criteria:*&#10; &#10; * The Mailgun project for Shift-Giving will be configured to support a Staging env"/>
        <s v="No push!"/>
        <s v="!Screenshot 2024-06-24 at 1.51.04 PM.png|width=388,height=830,alt=&quot;Screenshot 2024-06-24 at 1.51.04 PM.png&quot;!&#10; &#10; &#10; &#10; *Workflow*&#10; &#10; As an organization, I want to be able to create or update an organization profile.&#10; &#10; # I can upload an organization photo&#10; #"/>
        <s v="Create a user flow that details out the step-by-step of the code sign-up process.&#10; &#10; * Does the code gate sign-up? (if you don‚Äôt have a code you can‚Äôt join)&#10; * Should there be a generic sign-up option that you can trigger your own code to 1 or more de"/>
        <s v="I can enter a code or scan a QR code to add an additional organization to my account."/>
        <s v="*Technical Statement:* In order to support deploying the iOS mobile app for the Shift-Giving project, an App Store Connect account will be utilized.&#10; &#10; *Acceptance Criteria:*&#10; &#10; * An App Store Connect account will be identified to be used for the Shift-Gi"/>
        <s v="*Workflow*&#10; &#10; As a user, I want to receive a push notification when I make a donation that thanks me for making a donation."/>
        <s v="*Technical Implementation*&#10; &#10; # Add the FCM Token field to the Users table. &#10; ## After the push notification permission is accepted by the user, add this token to the DB for that user&#10; # Given a campaign ID and Notification object { title, message, data }"/>
        <s v="*Assumption*&#10; &#10; # For starters, we are just adding the share to social buttons to the bottom of campaign posts that donors view"/>
        <s v="*Workflow*&#10; &#10; # As a user, I want to be able to schedule a post for later and have that post publish at the scheduled time.&#10; # In the Post creation, when we create a post scheduled for later, the published flag will be set to false.&#10; &#10; *Technical Details*"/>
        <s v="As an shift admin, I want to start a campaign so that users can donate to it.&#10; &#10; After starting my campaign, it should be public and available for users to donate to (?)&#10; &#10; &#10; &#10; !Screenshot 2024-06-05 at 11.50.47 AM-20240605-165053.png|width=684,height=494"/>
        <s v="[https://www.kolide.com/blog/kolide-s-30-line-rails-multi-tenant-strategy|https://www.kolide.com/blog/kolide-s-30-line-rails-multi-tenant-strategy|smart-link] &#10; &#10; [https://jumpstartrails.com/docs/multitenancy|https://jumpstartrails.com/docs/multitenancy|s"/>
        <s v="!Screenshot 2024-06-28 at 1.08.48 PM-20240628-180854.png|width=446,height=465,alt=&quot;Screenshot 2024-06-28 at 1.08.48 PM-20240628-180854.png&quot;!&#10; &#10; &#10; &#10; *Workflow*&#10; &#10; # As a user, I want to be able to manage my saved payment method so I can pay with a differen"/>
        <s v="*Workflow*&#10; &#10; # As a user, after checking out, but before the transaction is processed, I should be presented a prompt for saving my payment information for a faster checkout.&#10; # After the transaction has finished, if I make another donation, I should see"/>
        <s v="*Workflow*&#10; &#10; # As a user, after checking out, but before the transaction is processed, I should be able to check a box that says ‚ÄúSave payment information‚Äù for a faster checkout.&#10; # After the transaction has finished, if I make another donation, I sh"/>
        <s v="As a user, when I click donate, I should be able to select an amount and enter payment details to donate to an organization so I can support them to the degree I want.&#10; &#10; !image-20240524-141743.png|width=770,height=532,alt=&quot;image-20240524-141743.png&quot;!&#10; &#10; "/>
        <s v="*Assumptions*&#10; &#10; # There is an account management page to add this to&#10; # Payment stuff is basically all done&#10; # Subscriptions can be started and we have the subscription Id"/>
        <s v="TIME BOX: 8 hours"/>
        <s v="As a campaign admin, I want to create posts to update donors or users that can see my organization about upcoming or ongoing campaigns.&#10; &#10; !image-20240529-140744.png|width=302,height=615,alt=&quot;image-20240529-140744.png&quot;!&#10; &#10; !image-20240529-140859.png|width"/>
        <s v="As a campaign admin, I want to create posts to update donors or users that can see my organization about upcoming or ongoing campaigns.&#10; &#10; &#10; &#10; !Screenshot 2024-06-05 at 1.08.02 PM-20240605-180808.png|width=934,height=695,alt=&quot;Screenshot 2024-06-05 at 1.08"/>
        <s v="!Screenshot 2024-06-28 at 1.12.00 PM-20240628-181206.png|width=385,height=130,alt=&quot;Screenshot 2024-06-28 at 1.12.00 PM-20240628-181206.png&quot;!&#10; &#10; Blocked by figma designs - once figma is done we should build this component to that specification&#10; &#10; *Technica"/>
        <s v="*Technical Statement:* In order to support storage of photos, an S3 bucket will need to exist in AWS for the Staging environment.&#10; &#10; *Acceptance Criteria:*&#10; &#10; * An S3 bucket exists in AWS for the staging environment"/>
        <s v="Use devise!&#10; &#10; * Make sure this automatically handles password resets/etc"/>
        <s v="When I click an email verification link, I am informed that my email has been verified and the verification flag on my account is set to true"/>
        <s v="!image-20240710-150406.png|width=316,height=680,alt=&quot;image-20240710-150406.png&quot;!&#10; &#10; &#10; &#10; *Workflow*&#10; &#10; As a donor user, I should be able to navigate to an account section where I can edit my account details.&#10; Screenshot 2024-07-10 at 9.08.33 AM&#10; &#10; &#10; On the"/>
        <s v="Outstanding questions:&#10; &#10; What permissions? How granular does granting permissions need to be or can it be totally role-based? Can I add a user to my org without granting permissions?"/>
        <s v="As a user, when I complete a donation I should receive a confirmation email with a tax receipt so that I can keep it for my records.&#10; &#10; *Workflow*&#10; &#10; # As a user, I make a donation to a campaign.&#10; # I receive an email informing me the payment has processe"/>
        <s v="!lPARshk6m_nImiXMIB2CQ4G9XKLRnzryCOlo6D3PURisoit8kvzHm_OuZ4Ix0fQeAbmCZ5C2FJDropfEf5Z4kBaZkpM2yLyioX_uy60NTVITT9SeaPOsRr2ct0ZroPlRXREj2d08NgN7z5N-0zmvEjk|width=100%!&#10; &#10; !0V7DCX7nqYx5lxEek5dJY8fEnHS9N4NejrQB-BcLS6t8JNEBhHQiCVNxwbAek3wL36BJkOLGeLOdjp1QnP_9YI"/>
        <s v="!Screenshot 2024-06-05 at 2.20.21 PM-20240605-192026.png|width=855,height=520,alt=&quot;Screenshot 2024-06-05 at 2.20.21 PM-20240605-192026.png&quot;!&#10; &#10; &#10; &#10; *Workflow*&#10; &#10; # As a new user, I navigate to the app and am prompted to enter an organization code to sign "/>
        <s v="*Infrastructure*&#10; &#10; # Active Storage setup&#10; &#10; *Story*&#10; &#10; As an org user, I want to upload one or multiple photos to a post so I can use visual media to tell a story.&#10; &#10; &#10; &#10; !image-20240529-154805.png|width=751,height=560,alt=&quot;image-20240529-154805.png&quot;!&#10; "/>
        <s v="As an org user, I want to be able to set push notification options for a campaign post so I can send push notifications to users apps to increase engagement.&#10; &#10; &#10; &#10; *Workflow*&#10; &#10; # When creating a post, I am presented with an option to ‚ÄúSend push notifi"/>
        <s v="As a user, when I create a post, I want to be able to set ‚ÄúShare to social‚Äù options&#10; &#10; * Set ‚Äòshare to social‚Äô options&#10; ** Can they integrate current social media platforms?&#10; ** API fees for existing platforms&#10; &#10; !3hzaQmBKgBXtIy6xYVxTsws4UI7-9qMoY"/>
        <s v="*Workflow*&#10; &#10; # As an org user, I want to be able to include a link to an uploaded video in a post.&#10; &#10; As an org user, when creating a post for a campaign, I want to be able to upload video to that post that&#10; &#10; * supports a wide variety of formats, qualit"/>
        <s v="!image-20240605-193354.png|width=870,height=643,alt=&quot;image-20240605-193354.png&quot;!&#10; &#10; &#10; &#10; *Workflow*&#10; &#10; # As a user, I navigate to the web page and am prompted for an org code or given the option to sign up as a new charity. &#10; ## If I select ‚ÄúJoin as a ne"/>
        <s v="As a user, I want to receive push notifications about campaigns I can donate to or have donated to be aware of campaign goals.&#10; &#10; &#10; &#10; !image-20240529-143642.png|width=302,height=615,alt=&quot;image-20240529-143642.png&quot;!&#10; &#10; *Workflow*&#10; &#10; # As a user, when a cam"/>
        <s v="*Technical Statement:* In order to support DNS routing and monitoring, a Cloudflare project will be created for the Shift-Giving application.&#10; &#10; *Acceptance Criteria:*&#10; &#10; * A project should exist in Cloudflare for the Shift-Giving application&#10; * All engin"/>
        <s v="*Technical Statement:* In order to support automated push notifications for the iOS mobile app in the staging environment, the FCM account will be setup to support the Shift-Giving iOS app.&#10; &#10; *Acceptance Criteria:*&#10; &#10; * The iOS mobile app is able to rece"/>
        <s v="*Technical Statement:* In order to support sending emails, a Mailgun account will be created for the Shift-Giving project.&#10; &#10; *Acceptance Criteria:*&#10; &#10; * A Mailgun project exists for the Shift-Giving application&#10; * All engineers have access to view and mo"/>
        <s v="*Technical Statement:* In order to support deploying the Android mobile app for the Shift-Giving project, an Google Play account will be utilized.&#10; &#10; *Acceptance Criteria:*&#10; &#10; * An Google Play account will be identified to be used for the Shift-Giving mob"/>
        <s v="As a campaign admin, I want to create posts to update donors or users that can see my organization about upcoming or ongoing campaigns.&#10; &#10; !image-20240529-140744.png|width=302,height=615,alt=&quot;image-20240529-140744.png&quot;!&#10; &#10; &#10; &#10; !Screenshot 2024-06-05 at 1."/>
        <s v="*Technical Statement:* In order to support deploying the iOS Mobile App to Test Users, a Testflight account will be created with App Store Connect.&#10; &#10; *Acceptance Criteria:*&#10; &#10; * A Testflight account will be setup that is integrated with App Store Connect"/>
        <s v="*Technical Statement:* In order to support deploying the Shift-Giving application to AWS infrastructure, a Buddy project needs to be setup.&#10; &#10; *Acceptance Criteria:*&#10; &#10; * A Buddy project exists for the Shift-Giving repository&#10; * All engineers have access "/>
        <s v="*Technical Statement:* In order to support creating infrastructure through code in AWS, a Terraform project needs to be created.&#10; &#10; *Acceptance Criteria:*&#10; &#10; * A Terraform project exists in Terraform Cloud for the Shift-Giving repository&#10; * Terraform has "/>
        <s v="*Technical Statement:* In order to support starting to configure infrastructure, an AWS account should exist for the Shift-Giving project.&#10; &#10; *Acceptance Criteria:*&#10; &#10; * An AWS account exists that is to be used for the Shift-Giving infrastructure&#10; * All e"/>
        <s v="*Technical Statement:* In order to support building and testing the Shift-Giving application, a CircleCI project will need to be setup.&#10; &#10; *Acceptance Criteria:*&#10; &#10; * A CircleCI project exists for the Shift-Giving repository&#10; * All engineers have access t"/>
        <s v="*Technical Statement:* In order to support version control for the Shift-Giving project, a GitHub repository should exist.&#10; &#10; *Acceptance Criteria:*&#10; &#10; * A Shift-Giving repository exists in GitHub under the Shift Interactive organization&#10; * All engineers "/>
        <s v="As an org user, I want to be able to review received donations to a campaign I‚Äôve created so I can track who has given, similar to the history page for a donor user:&#10; &#10; !image-20240531-142547.png|width=357,height=744,alt=&quot;image-20240531-142547.png&quot;!&#10; &#10; "/>
        <s v="As an org admin, I want to start a campaign so that users can donate to it.&#10; &#10; After starting my campaign, it should be public and available for users to donate to (?)&#10; &#10; &#10; &#10; !Screenshot 2024-06-05 at 11.50.47 AM-20240605-165053.png|width=684,height=494,a"/>
        <s v="Card to be broken out and maybe will be its own dedicated sprint. TODO: Get details of infrastructure conversations from WAG estimate documentation."/>
        <s v="As a user, I should be able to visit an organization profile so I can see their mission statement and donate.&#10; &#10; &#10; &#10; !Screenshot 2024-06-24 at 1.51.04 PM.png|width=388,height=830,alt=&quot;Screenshot 2024-06-24 at 1.51.04 PM.png&quot;!&#10; &#10; &#10; &#10; *Workflow*&#10; &#10; # As a u"/>
        <s v="As a user, I should be able to view a list of campaigns from organizations I belong to so I can find places to donate to.&#10; &#10; !image-20240524-140137.png|width=242,height=519,alt=&quot;image-20240524-140137.png&quot;!&#10; &#10; *Workflow*&#10; &#10; # As a user, when I navigate to "/>
        <s v="*Value Story:* As an organization, we want to be able to create posts so that we can broadcast news and opportunities for donations from donors to support our work and cause.&#10; &#10; *Acceptance Criteria:*&#10; &#10; * When viewing an existing campaign, organizations "/>
        <s v="*Value Story:* As an organization, we want to be able to manage existing campaigns so that we can keep opportunities for donations up to date.&#10; &#10; *Acceptance Criteria:*&#10; &#10; * When viewing a list of their existing campaigns, organizations are able to view/e"/>
        <s v="*Value Story:* As an donor, I want the ability to browse organization campaigns so that I can determine which campaigns I have interest in donating to.&#10; &#10; *Acceptance Criteria:*&#10; &#10; * After logging into the application, donors should see campaign feeds tha"/>
        <s v="Evaluate whether we need a component library or custom component approach."/>
        <s v="Form an initial recommendation for Push notification strategy. &#10; &#10; *Native push in React Native*- &#10; &#10; Firebase CM&#10; APNS&#10; (can look at Greekhouse Chefs example)&#10; &#10; *SMS*?"/>
        <s v="What‚Äôs an acceptable fee structure?&#10; What features are critical to our service? &#10; &#10; &#10; * Stripe - assumed too expensive&#10; * Vizypay - ?&#10; * Square&#10; * Paypal&#10; * Apple Pay/Google Pay&#10; * &#10; &#10; AC: &#10; Evaluate cost and capability of payment system options. Presen"/>
        <s v="React Native, Ruby On Rails, Postgres?"/>
        <s v="Possiblities:&#10; &#10; * Use a library or service: [Recommendify|https://github.com/asmuth/recommendify], [https://recommendifyapp.com/|https://recommendifyapp.com/|smart-link], [Predictor|https://github.com/nyagato-00/predictor], [https://github.com/ankane/dis"/>
        <s v="Mono-repository&#10; &#10; &#10; &#10; Environments&#10; &#10; &#10; &#10; * Production&#10; * Staging&#10; &#10; &#10; &#10; Application Architecture&#10; &#10; &#10; &#10; * Mobile Apps (Used by Donors)&#10; ** React Native&#10; *** iOS&#10; *** Android&#10; * Web Application (Used by Organizations/Administrators)&#10; ** Ruby on Rails&#10; * "/>
        <s v="As a donor, I want to &#10; &#10; * see a list of contributions I‚Äôve made through all-time history.&#10; * select individual donations to view a transaction receipt I can download/print for tax purposes. &#10; &#10; [https://www.irs.gov/charities-non-profits/charitable-org"/>
        <s v="[https://shiftinteractive.atlassian.net/browse/GIV-9|https://shiftinteractive.atlassian.net/browse/GIV-9|smart-link] &#10; &#10; *Manage Campaigns*&#10; &#10; As a Campaign Admin, I want to&#10; &#10; * Create a 501(3)(c) organization in the app to start my donation campaign&#10; * "/>
        <s v="*Admin*&#10; &#10; * Campaign List&#10; ** nested Post List per campaign&#10; * Archive Campaign&#10; * Hide/Remove post&#10; * _Post/Campaign Anayltics (later Epic)_&#10; * &#10; &#10; *View Campaign Detail*&#10; &#10; * Campaign Title&#10; * Beneficiary&#10; * Total raised&#10; * % of goal&#10; * List of donatio"/>
        <s v="*Description:* &#10; As a donor interacting with a campaign post, I can complete a one-time payment donation to a specific beneficiary or cause. &#10; &#10; * Select amount&#10; * Confirm amount&#10; * Submit donation&#10; * Donation confirmation&#10; ** Thank you message&#10; &#10; *Accept"/>
        <s v="A Simple Campaign is a series of Posts set up by an Org and grouped by a common purpose. A campaign includes the ability to create, edit, schedule and publish - both the campaign &amp; the individual posts. &#10; &#10; A Donor will be able to see posts iwith a call t"/>
        <s v="Efficient (&lt;2 min) sign-up for individuals&#10; &#10; * First Name&#10; * Last Name&#10; * Email address&#10; * Phone number&#10; * Set Password"/>
        <s v="Efficient (&lt;5 min) sign-up for 501(c)3 orgs &#10; &#10; * Org Name&#10; * Owner First name&#10; * Owner Last name&#10; * Upload logo&#10; * Email address&#10; * About our Org&#10; * Nonprofit EIN &#10; ** nine-digit tax ID number that IRS assigns to nonprofits, charities, organizations, and"/>
        <s v="Video:&#10; &#10; Bunny: [https://docs.bunny.net/reference/api-overview|https://docs.bunny.net/reference/api-overview|smart-link]&#10; &#10; * Transcoding&#10; * Storage&#10; * Video Player&#10; &#10; api.video: [https://api.video/|https://api.video/|smart-link]&#10; &#10; * Transcoding&#10; * CDN "/>
        <s v="Starting designs and mockups to inform front-end estimation&#10; &#10; +Identified June 4 by dev team:+ &#10; &#10; {quote}*Donations - Mobile*&#10; &#10; Checking out with a saved payment method&#10; &#10; Saving a a payment method after a transaction&#10; &#10; Adding a payment method outside"/>
        <s v="Research and evaluation of potential architecture, integrations, etc."/>
      </sharedItems>
    </cacheField>
    <cacheField name="Parent" numFmtId="0">
      <sharedItems containsString="0" containsBlank="1" containsNumber="1" containsInteger="1">
        <n v="62477.0"/>
        <n v="63308.0"/>
        <n v="63306.0"/>
        <n v="63305.0"/>
        <n v="62565.0"/>
        <n v="62482.0"/>
        <m/>
        <n v="63307.0"/>
        <n v="62450.0"/>
        <n v="62483.0"/>
        <n v="62428.0"/>
        <n v="62442.0"/>
        <n v="62580.0"/>
        <n v="63309.0"/>
        <n v="62446.0"/>
        <n v="62447.0"/>
        <n v="62444.0"/>
        <n v="62449.0"/>
        <n v="62427.0"/>
      </sharedItems>
    </cacheField>
    <cacheField name="Parent summary" numFmtId="0">
      <sharedItems containsBlank="1">
        <s v="Browse Campaigns"/>
        <s v="User Subscriptions"/>
        <s v="User Mgmt/Profile"/>
        <s v="Org Mgmt/Profile"/>
        <s v="Prod environment"/>
        <s v="Manage Campaign"/>
        <m/>
        <s v="User Login"/>
        <s v="MVP staging environment"/>
        <s v="Publish Post"/>
        <s v="MVP UI/UX"/>
        <s v="Org Sign-up"/>
        <s v="Push notifications"/>
        <s v="Super Admin"/>
        <s v="Accept Donation"/>
        <s v="Campaign Admin"/>
        <s v="Donor Sign-up"/>
        <s v="Display Donor Giving History"/>
        <s v="Technical Discovery"/>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000" sheet="Jira Export 071024"/>
  </cacheSource>
  <cacheFields>
    <cacheField name="Issue Type" numFmtId="0">
      <sharedItems containsBlank="1">
        <s v="Task"/>
        <s v="Epic"/>
        <m/>
      </sharedItems>
    </cacheField>
    <cacheField name="Issue key" numFmtId="0">
      <sharedItems containsBlank="1">
        <s v="GIV-158"/>
        <s v="GIV-157"/>
        <s v="GIV-156"/>
        <s v="GIV-155"/>
        <s v="GIV-154"/>
        <s v="GIV-153"/>
        <s v="GIV-152"/>
        <s v="GIV-151"/>
        <s v="GIV-150"/>
        <s v="GIV-149"/>
        <s v="GIV-148"/>
        <s v="GIV-147"/>
        <s v="GIV-146"/>
        <s v="GIV-145"/>
        <s v="GIV-144"/>
        <s v="GIV-143"/>
        <s v="GIV-142"/>
        <s v="GIV-141"/>
        <s v="GIV-140"/>
        <s v="GIV-139"/>
        <s v="GIV-138"/>
        <s v="GIV-137"/>
        <s v="GIV-136"/>
        <s v="GIV-135"/>
        <s v="GIV-134"/>
        <s v="GIV-133"/>
        <s v="GIV-132"/>
        <s v="GIV-131"/>
        <s v="GIV-130"/>
        <s v="GIV-129"/>
        <s v="GIV-128"/>
        <s v="GIV-127"/>
        <s v="GIV-126"/>
        <s v="GIV-125"/>
        <s v="GIV-124"/>
        <s v="GIV-123"/>
        <s v="GIV-122"/>
        <s v="GIV-121"/>
        <s v="GIV-120"/>
        <s v="GIV-119"/>
        <s v="GIV-118"/>
        <s v="GIV-117"/>
        <s v="GIV-116"/>
        <s v="GIV-115"/>
        <s v="GIV-114"/>
        <s v="GIV-113"/>
        <s v="GIV-112"/>
        <s v="GIV-111"/>
        <s v="GIV-110"/>
        <s v="GIV-109"/>
        <s v="GIV-108"/>
        <s v="GIV-107"/>
        <s v="GIV-106"/>
        <s v="GIV-105"/>
        <s v="GIV-104"/>
        <s v="GIV-103"/>
        <s v="GIV-102"/>
        <s v="GIV-101"/>
        <s v="GIV-100"/>
        <s v="GIV-99"/>
        <s v="GIV-98"/>
        <s v="GIV-97"/>
        <s v="GIV-96"/>
        <s v="GIV-95"/>
        <s v="GIV-94"/>
        <s v="GIV-93"/>
        <s v="GIV-92"/>
        <s v="GIV-91"/>
        <s v="GIV-90"/>
        <s v="GIV-89"/>
        <s v="GIV-88"/>
        <s v="GIV-87"/>
        <s v="GIV-86"/>
        <s v="GIV-85"/>
        <s v="GIV-84"/>
        <s v="GIV-83"/>
        <s v="GIV-82"/>
        <s v="GIV-81"/>
        <s v="GIV-80"/>
        <s v="GIV-79"/>
        <s v="GIV-78"/>
        <s v="GIV-77"/>
        <s v="GIV-76"/>
        <s v="GIV-75"/>
        <s v="GIV-74"/>
        <s v="GIV-73"/>
        <s v="GIV-72"/>
        <s v="GIV-71"/>
        <s v="GIV-70"/>
        <s v="GIV-69"/>
        <s v="GIV-68"/>
        <s v="GIV-67"/>
        <s v="GIV-66"/>
        <s v="GIV-65"/>
        <s v="GIV-64"/>
        <s v="GIV-63"/>
        <s v="GIV-62"/>
        <s v="GIV-61"/>
        <s v="GIV-60"/>
        <s v="GIV-59"/>
        <s v="GIV-58"/>
        <s v="GIV-57"/>
        <s v="GIV-56"/>
        <s v="GIV-55"/>
        <s v="GIV-54"/>
        <s v="GIV-53"/>
        <s v="GIV-52"/>
        <s v="GIV-51"/>
        <s v="GIV-50"/>
        <s v="GIV-49"/>
        <s v="GIV-48"/>
        <s v="GIV-47"/>
        <s v="GIV-46"/>
        <s v="GIV-45"/>
        <s v="GIV-43"/>
        <s v="GIV-42"/>
        <s v="GIV-41"/>
        <s v="GIV-40"/>
        <s v="GIV-39"/>
        <s v="GIV-38"/>
        <s v="GIV-37"/>
        <s v="GIV-36"/>
        <s v="GIV-35"/>
        <s v="GIV-34"/>
        <s v="GIV-33"/>
        <s v="GIV-32"/>
        <s v="GIV-31"/>
        <s v="GIV-30"/>
        <s v="GIV-29"/>
        <s v="GIV-28"/>
        <s v="GIV-27"/>
        <s v="GIV-26"/>
        <s v="GIV-21"/>
        <s v="GIV-18"/>
        <s v="GIV-17"/>
        <s v="GIV-16"/>
        <s v="GIV-15"/>
        <s v="GIV-14"/>
        <s v="GIV-13"/>
        <s v="GIV-12"/>
        <s v="GIV-11"/>
        <s v="GIV-10"/>
        <s v="GIV-9"/>
        <s v="GIV-8"/>
        <s v="GIV-7"/>
        <s v="GIV-6"/>
        <s v="GIV-5"/>
        <s v="GIV-4"/>
        <s v="GIV-3"/>
        <s v="GIV-2"/>
        <s v="GIV-1"/>
        <m/>
      </sharedItems>
    </cacheField>
    <cacheField name="Issue id" numFmtId="0">
      <sharedItems containsString="0" containsBlank="1" containsNumber="1" containsInteger="1">
        <n v="63388.0"/>
        <n v="63387.0"/>
        <n v="63386.0"/>
        <n v="63385.0"/>
        <n v="63384.0"/>
        <n v="63383.0"/>
        <n v="63382.0"/>
        <n v="63381.0"/>
        <n v="63380.0"/>
        <n v="63379.0"/>
        <n v="63378.0"/>
        <n v="63331.0"/>
        <n v="63330.0"/>
        <n v="63322.0"/>
        <n v="63310.0"/>
        <n v="63309.0"/>
        <n v="63308.0"/>
        <n v="63307.0"/>
        <n v="63306.0"/>
        <n v="63305.0"/>
        <n v="63291.0"/>
        <n v="63290.0"/>
        <n v="63289.0"/>
        <n v="63288.0"/>
        <n v="63287.0"/>
        <n v="63286.0"/>
        <n v="63285.0"/>
        <n v="63284.0"/>
        <n v="63283.0"/>
        <n v="63282.0"/>
        <n v="63281.0"/>
        <n v="63280.0"/>
        <n v="63279.0"/>
        <n v="63278.0"/>
        <n v="63277.0"/>
        <n v="63276.0"/>
        <n v="63275.0"/>
        <n v="63274.0"/>
        <n v="63273.0"/>
        <n v="63271.0"/>
        <n v="63270.0"/>
        <n v="63269.0"/>
        <n v="63268.0"/>
        <n v="63267.0"/>
        <n v="63266.0"/>
        <n v="63265.0"/>
        <n v="63264.0"/>
        <n v="62750.0"/>
        <n v="62749.0"/>
        <n v="62748.0"/>
        <n v="62747.0"/>
        <n v="62746.0"/>
        <n v="62745.0"/>
        <n v="62680.0"/>
        <n v="62679.0"/>
        <n v="62678.0"/>
        <n v="62677.0"/>
        <n v="62675.0"/>
        <n v="62674.0"/>
        <n v="62673.0"/>
        <n v="62671.0"/>
        <n v="62670.0"/>
        <n v="62669.0"/>
        <n v="62668.0"/>
        <n v="62667.0"/>
        <n v="62666.0"/>
        <n v="62665.0"/>
        <n v="62664.0"/>
        <n v="62659.0"/>
        <n v="62656.0"/>
        <n v="62655.0"/>
        <n v="62653.0"/>
        <n v="62651.0"/>
        <n v="62649.0"/>
        <n v="62647.0"/>
        <n v="62646.0"/>
        <n v="62645.0"/>
        <n v="62644.0"/>
        <n v="62643.0"/>
        <n v="62642.0"/>
        <n v="62641.0"/>
        <n v="62640.0"/>
        <n v="62639.0"/>
        <n v="62638.0"/>
        <n v="62632.0"/>
        <n v="62631.0"/>
        <n v="62630.0"/>
        <n v="62629.0"/>
        <n v="62626.0"/>
        <n v="62601.0"/>
        <n v="62600.0"/>
        <n v="62593.0"/>
        <n v="62592.0"/>
        <n v="62591.0"/>
        <n v="62588.0"/>
        <n v="62587.0"/>
        <n v="62586.0"/>
        <n v="62585.0"/>
        <n v="62582.0"/>
        <n v="62581.0"/>
        <n v="62580.0"/>
        <n v="62579.0"/>
        <n v="62576.0"/>
        <n v="62574.0"/>
        <n v="62573.0"/>
        <n v="62572.0"/>
        <n v="62571.0"/>
        <n v="62570.0"/>
        <n v="62569.0"/>
        <n v="62568.0"/>
        <n v="62567.0"/>
        <n v="62566.0"/>
        <n v="62565.0"/>
        <n v="62564.0"/>
        <n v="62562.0"/>
        <n v="62561.0"/>
        <n v="62560.0"/>
        <n v="62559.0"/>
        <n v="62558.0"/>
        <n v="62557.0"/>
        <n v="62556.0"/>
        <n v="62555.0"/>
        <n v="62554.0"/>
        <n v="62553.0"/>
        <n v="62542.0"/>
        <n v="62541.0"/>
        <n v="62539.0"/>
        <n v="62538.0"/>
        <n v="62537.0"/>
        <n v="62536.0"/>
        <n v="62483.0"/>
        <n v="62482.0"/>
        <n v="62477.0"/>
        <n v="62461.0"/>
        <n v="62460.0"/>
        <n v="62459.0"/>
        <n v="62458.0"/>
        <n v="62457.0"/>
        <n v="62456.0"/>
        <n v="62450.0"/>
        <n v="62449.0"/>
        <n v="62448.0"/>
        <n v="62447.0"/>
        <n v="62446.0"/>
        <n v="62445.0"/>
        <n v="62444.0"/>
        <n v="62443.0"/>
        <n v="62442.0"/>
        <n v="62441.0"/>
        <n v="62428.0"/>
        <n v="62427.0"/>
        <m/>
      </sharedItems>
    </cacheField>
    <cacheField name="Summary" numFmtId="0">
      <sharedItems containsBlank="1">
        <s v="As a donor user, I want to be able to see all campaigns"/>
        <s v="As a donor user, I want to be able to see all campaigns of my organizations"/>
        <s v="As a donor user, I want to see a feed of campaigns and new posts on my home page"/>
        <s v="As an org user, I want to manage my account"/>
        <s v="Production Environment Setup"/>
        <s v="As an org user, I want to be able to view my posts for a campaign"/>
        <s v="SMS Notifications Worker"/>
        <s v="Email Notifications Worker"/>
        <s v="Messaging Triggers"/>
        <s v="Organization Dashboard"/>
        <s v="Organization Landing Page on Web App"/>
        <s v="Backend Push Notifications: Setup notifications in Ruby App"/>
        <s v="Front-End Push Notifications: Display and Process"/>
        <s v="As a user, I should be able to reset password"/>
        <s v="Next Phase UI/UX"/>
        <s v="Super Admin"/>
        <s v="User Subscriptions"/>
        <s v="User Login"/>
        <s v="User Mgmt/Profile"/>
        <s v="Org Mgmt/Profile"/>
        <s v="Configure Buddy to Use Fastlane for Automated Deployment of Android Mobile App"/>
        <s v="Setup Staging Distribution Pipeline in Google Play"/>
        <s v="Configure FCM for Staging Android Mobile App"/>
        <s v="Setup FCM"/>
        <s v="Configure Buddy to Use Fastlane for Automated Deployment of iOS Mobile App"/>
        <s v="Configure Testflight for Staging"/>
        <s v="Setup Staging Distribution Pipeline in App Store Connect"/>
        <s v="Configure Buddy to Deploy Docker Container to ECR for Staging"/>
        <s v="Configure AWS ECR for Staging Rails Web Application"/>
        <s v="Configure AWS ELB for Staging Rails Web Application"/>
        <s v="Configure Cloudflare for the Staging URL"/>
        <s v="Setup SSL Certificate for Staging Web Application"/>
        <s v="Configure AWS ECS for Staging Rails Web Application"/>
        <s v="Docker Container for Rails Web Application"/>
        <s v="Configure AWS RDS for Staging Postgres Database"/>
        <s v="Identify Branching Strategy"/>
        <s v="Configure Build/Test Pipeline in CircleCI"/>
        <s v="Add Integration/Unit Automated Test Library/Framework to React Native Application"/>
        <s v="Add Integration/Unit Automated Test Library/Framework to Rails Web Application"/>
        <s v="Add Acceptance Automated Test Library/Framework"/>
        <s v="Identify Test Automation Libraries/Frameworks"/>
        <s v="Add React Native Application to Repository"/>
        <s v="Add Rails Web Application to Repository"/>
        <s v="Set up Jumpstart Multitenancy"/>
        <s v="As a donor user, I want to see a feed of posts"/>
        <s v="Setup Staging Pipeline in Buddy"/>
        <s v="Configure Mailgun for Staging Environment"/>
        <s v="As a donor user, I want to be able to see campaign page with a list of previous posts"/>
        <s v="As an org user, I want to be able edit a post"/>
        <s v="Org profile - as viewed by donor visiting"/>
        <s v="As an org admin, I want to be able to create/update my organization profile"/>
        <s v="User flow - Sign-up via SG code"/>
        <s v="As a donor user, I want to be able to add new organizations after I have already signed up for the app"/>
        <s v="Setup App Store Connect"/>
        <s v="As an org admin, I need to be able to see users associated with my organization and grant them permissions"/>
        <s v="As a new user, I want to be able to sign up as an org member"/>
        <s v="Push Notification Worker (Donations)"/>
        <s v="Push Notification Worker (Posts)"/>
        <s v="As an org user, I want to be able to set groups for push notifications when I create a post"/>
        <s v="As a donor user, I want to receive a push notification when a campaign publishes a post"/>
        <s v="As a donor user, I want to see &quot;Share to Social&quot; options on campaign posts I recieve"/>
        <s v="As an org user, I want to be able to schedule a post for later"/>
        <s v="As an org user, I want to upload multiple photos"/>
        <s v="As a shift Admin, I want to include videos in posts"/>
        <s v="As a shift Admin, I want to be able to upload one or more photos to a post"/>
        <s v="As a shift Admin, I want to make posts for a campaign"/>
        <s v="As a Shift admin, I want to see donations for a campaign"/>
        <s v="As a Shift Admin, I want to start a campaign"/>
        <s v="Multi-tenancy approaches"/>
        <s v="Add FCM Token to User Table"/>
        <s v="Site Admin"/>
        <s v="As a user, I should be able to manage my saved payment methods from the payment page"/>
        <s v="As a user, I should be able to select from several saved payment methods"/>
        <s v="As a user, I should be able to save a new payment method for a single donation"/>
        <s v="As a user, I should be able to make a single donation to a campaign with a saved payment method"/>
        <s v="As a user, I should be able to end a subscription I've started"/>
        <s v="SPIKE: Security concerns for payment method calls from front-end"/>
        <s v="As an org user, I want to be able to personalize campaign posts"/>
        <s v="As an org user, I want to preview a campaign post while I am making it"/>
        <s v="Goal progress bar"/>
        <s v="Configure AWS S3 for Staging Photo Storage"/>
        <s v="As a user, whose campaigns should we be seeing?"/>
        <s v="As a user, I should be able to sign in"/>
        <s v="As a user, I should be able to make a recurring donation to a campaign"/>
        <s v="As a user, I want to verify my email"/>
        <s v="As a donor user, I want to manage my account"/>
        <s v="As an org admin, I want to grant users in my org permissions to manage campaigns"/>
        <s v="As an org admin, I want to add users to my org"/>
        <s v="As a user, I should receive an email confirmation upon a completing a donation"/>
        <s v="As an donor user, I want to be able to sign up using my apple account"/>
        <s v="As a donor user, I want to be able to sign up using my google account"/>
        <s v="As an org user, I want to be able to sign up using my apple account"/>
        <s v="As an org user, I want to be able to sign in using my google account"/>
        <s v="As a donor user, I want to be able to sign up"/>
        <s v="As an org user, I want to be able to upload one photo to a post"/>
        <s v="As an org user, I want to be able to set push notification options for a campaign post"/>
        <s v="As an org user, I want to be able to set &quot;Share to social&quot; options when I make a post"/>
        <s v="As an org user, I want to include videos in posts"/>
        <s v="I want to be able to sign up as a new org"/>
        <s v="As a user, I want to be able to scan and track receipts for charitable donations"/>
        <s v="Push notifications"/>
        <s v="Mobile App Support"/>
        <s v="As a user, I want to receive push notifications"/>
        <s v="Setup/Configure Cloudflare for Production"/>
        <s v="Setup/Configure APNs for Production"/>
        <s v="Setup/Configure FCM for Production"/>
        <s v="Setup/Configure Mailgun for Production"/>
        <s v="Setup/Configure Google Play for Production"/>
        <s v="Setup/Configure Testflight for Production"/>
        <s v="Setup/Configure Buddy for Production"/>
        <s v="Setup/Configure Terraform for Production"/>
        <s v="Setup/Configure AWS for Production"/>
        <s v="Prod environment"/>
        <s v="Setup Cloudflare"/>
        <s v="Configure FCM for Staging iOS Mobile App"/>
        <s v="Setup Mailgun"/>
        <s v="Setup Google Play"/>
        <s v="As an org user, I want to make posts for a campaign"/>
        <s v="Setup Testflight"/>
        <s v="Setup Buddy"/>
        <s v="Setup Terraform"/>
        <s v="Setup AWS Account"/>
        <s v="Setup CircleCI"/>
        <s v="Setup Shift-Giving Repository"/>
        <s v="As an org user, I want to recieve/see received donations"/>
        <s v="As a org admin, I want to start a campaign"/>
        <s v="Infrastructure Setup"/>
        <s v="As a user, I should be able to make a single donation to a campaign with a new payment method"/>
        <s v="As a donor user, I should be able to visit an organization profile?"/>
        <s v="As a user, I should be able to see a list of active campaigns"/>
        <s v="Publish Post"/>
        <s v="Manage Campaign"/>
        <s v="Browse Campaigns"/>
        <s v="Evaluate need for component library or custom components"/>
        <s v="Push Notifications research"/>
        <s v="Choose a payment provider"/>
        <s v="Donor"/>
        <s v="Tech Stack"/>
        <s v="Recommendation Engine"/>
        <s v="MVP staging environment"/>
        <s v="Display Donor Giving History"/>
        <s v="Campaign Admin"/>
        <s v="Accept Donation"/>
        <s v="Publish Simple Campaign"/>
        <s v="Donor Sign-up"/>
        <s v="Upload logo"/>
        <s v="Org Sign-up"/>
        <s v="Choose a video library"/>
        <s v="MVP UI/UX"/>
        <s v="Technical Discovery"/>
        <m/>
      </sharedItems>
    </cacheField>
    <cacheField name="Assignee" numFmtId="0">
      <sharedItems containsBlank="1">
        <m/>
        <s v="cliff.thompson"/>
        <s v="chris.johnson"/>
        <s v="ehren.fox"/>
        <s v="Brian Healy"/>
        <s v="Travis Smith"/>
      </sharedItems>
    </cacheField>
    <cacheField name="Assignee Id" numFmtId="0">
      <sharedItems containsBlank="1">
        <m/>
        <s v="619bfad9657a050070750d97"/>
        <s v="6423639c67102fc717c21f97"/>
        <s v="60d9d4117d016900700bbaab"/>
        <s v="6090022a7a30960069da652e"/>
        <s v="712020:74eee8f4-6806-4c68-a5ec-bb0d05e20f1c"/>
      </sharedItems>
    </cacheField>
    <cacheField name="Status" numFmtId="0">
      <sharedItems containsBlank="1">
        <s v="To Do"/>
        <s v="Done"/>
        <m/>
      </sharedItems>
    </cacheField>
    <cacheField name="Sprint" numFmtId="0">
      <sharedItems containsBlank="1">
        <s v="GIV Sprint 7"/>
        <s v="GIV Sprint 8"/>
        <s v="Giv Sprint 13"/>
        <s v="GIV Sprint 3"/>
        <s v="GIV Sprint 6"/>
        <s v="Giv Sprint 11"/>
        <s v="Giv Sprint 10"/>
        <m/>
        <s v="GIV Sprint 9"/>
        <s v="GIV Sprint 1"/>
        <s v="GIV Sprint 2"/>
        <s v="Giv Sprint 12"/>
        <s v="Next Phase"/>
        <s v="GIV Sprint 4"/>
        <s v="GIV Sprint 5"/>
        <s v="GIV Sprint 0"/>
      </sharedItems>
    </cacheField>
    <cacheField name="Status Category Changed">
      <sharedItems containsDate="1" containsBlank="1" containsMixedTypes="1">
        <s v="##########"/>
        <d v="2024-06-05T08:35:00Z"/>
        <d v="2024-06-04T09:21:00Z"/>
        <d v="2024-06-04T09:09:00Z"/>
        <m/>
      </sharedItems>
    </cacheField>
    <cacheField name="Hours" numFmtId="0">
      <sharedItems containsString="0" containsBlank="1" containsNumber="1" containsInteger="1">
        <n v="16.0"/>
        <n v="24.0"/>
        <n v="90.0"/>
        <n v="18.0"/>
        <n v="80.0"/>
        <n v="32.0"/>
        <m/>
        <n v="6.0"/>
        <n v="8.0"/>
        <n v="2.0"/>
        <n v="1.0"/>
        <n v="12.0"/>
        <n v="4.0"/>
        <n v="5.0"/>
        <n v="3.0"/>
        <n v="40.0"/>
        <n v="50.0"/>
      </sharedItems>
    </cacheField>
    <cacheField name="Description" numFmtId="0">
      <sharedItems containsBlank="1">
        <m/>
        <s v="!image-20240710-154220.png|width=297,height=625,alt=&quot;image-20240710-154220.png&quot;!"/>
        <s v="!image-20240710-153127.png|width=921,height=679,alt=&quot;image-20240710-153127.png&quot;!&#10; &#10; *Assumptions*&#10; &#10; # We aren‚Äôt editing posts"/>
        <s v="This will be a worker that receives SMS notifications and sends them out via twilio or something"/>
        <s v="This will be a worker that received email notifications and sends them out via sendgrid or something"/>
        <s v="Create event hooks for donor user actions like campaign donation, org donation, joining an organization, etc.&#10; &#10; &#10; &#10; -This includes potential email, sms, or push notifications for all of the above"/>
        <s v="!image-20240710-152014.png|width=832,height=669,alt=&quot;image-20240710-152014.png&quot;!"/>
        <s v="!image-20240710-151547.png|width=416,height=798,alt=&quot;image-20240710-151547.png&quot;!"/>
        <s v="Store FCM Token in our DB&#10; &#10; Frontend: Process and display notifications&#10; &#10; Backend: Setup notifications in Ruby app&#10; &#10; when notifications are fired send them to the proper tokens/people&#10; &#10; &#10; &#10; *Technical Implementation*&#10; &#10; # Add FCM token in User table i"/>
        <s v="Use Devise!&#10; &#10; *Workflow*&#10; &#10; # As a user, I need to be able to reset my password&#10; # On the log-in screen, if I select ‚ÄúForgot Password?‚Äù, I can enter my email&#10; # An email is sent to me that allows me to click a link to reset my password&#10; # I enter my "/>
        <s v="mobile specific donor view&#10; &#10; Notifications Mgmt&#10; Subscriptions Mgmt&#10; &#10; Account Settings&#10; &#10; Security"/>
        <s v="Display a tabbed/swipable view of the Organization profile with &#10; &#10; About&#10; Active Campaigns&#10; Published Posts&#10; _Recent public donations_"/>
        <s v="*Technical Statement:* In order to support manually testing the Android Mobile App with Test Users, the Staging Android mobile app will be automatically deployed through Buddy using Fastlane.&#10; &#10; *Acceptance Criteria:*&#10; &#10; * The Buddy pipeline for Staging h"/>
        <s v="*Technical Statement:* In order to support deploying the React Native application for Android for the Staging environment, we need to create a distribution pipeline in Google Play.&#10; &#10; *Acceptance Criteria:*&#10; &#10; * A distribution pipeline exists for the Stag"/>
        <s v="*Technical Statement:* In order to support automated push notifications for the Android mobile app in the staging environment, the FCM account will be setup to support the Shift-Giving Android app.&#10; &#10; *Acceptance Criteria:*&#10; &#10; * The Android mobile app is "/>
        <s v="*Technical Statement:* In order to support automated push notifications, a Firebase Cloud Messaging account will be utilized for the Shift-Giving application.&#10; &#10; *Acceptance Criteria:*&#10; &#10; * An FCM account will be identified for use with the Shift-Giving a"/>
        <s v="*Technical Statement:* In order to support manually testing the iOS Mobile App with Test Users, the Staging iOS mobile app will be automatically deployed through Buddy using Fastlane.&#10; &#10; *Acceptance Criteria:*&#10; &#10; * The Buddy pipeline for Staging has an ac"/>
        <s v="*Technical Statement:* In order to support manually testing the iOS Mobile App with Test Users, the Staging iOS Mobile App will deployed to Testflight.&#10; &#10; *Acceptance Criteria:*&#10; &#10; * The staging version of the iOS mobile app is deployed to Testflight&#10; * T"/>
        <s v="*Technical Statement:* In order to support deploying the React Native application for iOS for the Staging environment, we need to create a distribution pipeline in App Store Connect.&#10; &#10; *Acceptance Criteria:*&#10; &#10; * A distribution pipeline exists for the St"/>
        <s v="*Technical Statement:* In order to support deploying the Rails Web Application for the Staging Environment, an action will be created in the Buddy staging pipeline to deploy the docker file to the AWS ECR instance.&#10; &#10; *Acceptance Criteria:*&#10; &#10; * An action"/>
        <s v="*Technical Statement:* In order to support deploying the Rails Web Application for the Staging Environment, an AWS ECR resource needs to be created for Rails docker container.&#10; &#10; *Acceptance Criteria:*&#10; &#10; * An AWS Elastic Container Registry resource exist"/>
        <s v="*Technical Statement:* In order to support reaching the AWS ECS Web Application for the Staging Environment, an Elastic Load Balancer resource will be created in AWS.&#10; &#10; *Acceptance Criteria:*&#10; &#10; * An Elastic Load Balancer resource should exist in AWS for"/>
        <s v="*Technical Statement:* In order to support DNS routing for the Staging URL of the Shift-Giving web application, a DNS route will be created in Cloudflare.&#10; &#10; *Acceptance Criteria:*&#10; &#10; * A DNS route will exist in Cloudflare for the Shift-Giving Staging URL"/>
        <s v="*Technical Statement:* In order to support deploying the Staging environment Shift-Giving Web Application, an SSL certificate will be created.&#10; &#10; *Acceptance Criteria:*&#10; &#10; * An SSL certificate will be generated to be used for the Shift-Giving staging URL"/>
        <s v="*Technical Statement:* In order to support deploying the Rails Web Application for the Staging Environment, an AWS ECS resource needs to be created for Rails docker container.&#10; &#10; *Acceptance Criteria:*&#10; &#10; * An AWS ECS resource exists for running the Rails"/>
        <s v="*Technical Statement:* In order to support deploying the Rails Web Application, a docker container will need to be created for running the Rails Web Application.&#10; &#10; *Acceptance Criteria:*&#10; &#10; * A docker container exists for running the Rails Web Applicatio"/>
        <s v="*Technical Statement:* In order to support storing data in a database for the Staging environment, a database will need to be configured in AWS RDS.&#10; &#10; *Acceptance Criteria:*&#10; &#10; * A Postgres database instance should be configured in RDS through Terraform "/>
        <s v="*Technical Statement:* In order to support build, test, and deployment pipelines, a branching strategy will need to be determined.&#10; &#10; *Acceptance Criteria:*&#10; &#10; * A branching strategy is determined and documented so that it is available to all engineers"/>
        <s v="*Technical Statement:* In order to support building and testing changes made within the Shift-Giving repository, a build/test pipeline will need to be created.&#10; &#10; *Acceptance Criteria:*&#10; &#10; * A build and test pipeline should exist in CircleCI for the Shift"/>
        <s v="*Technical Statement:* In order to support creating automated integration/unit tests, a library/framework will need to setup for the React Native Application.&#10; &#10; *Acceptance Criteria:*&#10; &#10; * A library/framework will exist for creating and executing automat"/>
        <s v="*Technical Statement:* In order to support creating automated integration/unit tests, a library/framework will need to setup for the Rails Web Application.&#10; &#10; *Acceptance Criteria:*&#10; &#10; * A library/framework will exist for creating and executing automated "/>
        <s v="*Technical Statement:* In order to support creating automated acceptance tests, a library/framework will need to setup.&#10; &#10; *Acceptance Criteria:*&#10; &#10; * A library/framework will exist for creating and executing automated acceptance tests"/>
        <s v="*Technical Statement:* In order to support automated tests for the entire application, a testing strategy will be needed and automated testing libraries/frameworks will need to be identified.&#10; &#10; *Acceptance Criteria:*&#10; &#10; * A testing strategy for the entir"/>
        <s v="*Technical Statement:* In order to support starting development on the React Native application, a React Native Mobile Application needs to exist in Shift-Giving repository.&#10; &#10; *Acceptance Criteria:*&#10; &#10; * A boilerplate React Native project should exist in"/>
        <s v="*Technical Statement:* In order to support starting development on the Ruby on Rails application, a Rails Web Application needs to exist in Shift-Giving repository.&#10; &#10; *Acceptance Criteria:*&#10; &#10; * A boilerplate Ruby on Rails project should exist in the Shi"/>
        <s v="*Acceptance Criteria*&#10; &#10; # I can log in as an admin account user&#10; &#10; [https://jumpstartrails.com/docs/installation|https://jumpstartrails.com/docs/installation|smart-link]"/>
        <s v="*Technical Statement:* In order to support deploying the Rails Web Application for the Staging Environment, a pipeline will be created in Buddy for staging.&#10; &#10; *Acceptance Criteria:*&#10; &#10; * A pipeline will exist in the Shift-Giving project in Buddy for the "/>
        <s v="*Technical Statement:* In order to support sending emails for the Staging environment, the Mailgun project for Shift-Giving will be configured.&#10; &#10; *Acceptance Criteria:*&#10; &#10; * The Mailgun project for Shift-Giving will be configured to support a Staging env"/>
        <s v="No push!"/>
        <s v="!Screenshot 2024-06-24 at 1.51.04 PM.png|width=388,height=830,alt=&quot;Screenshot 2024-06-24 at 1.51.04 PM.png&quot;!&#10; &#10; &#10; &#10; *Workflow*&#10; &#10; As an organization, I want to be able to create or update an organization profile.&#10; &#10; # I can upload an organization photo&#10; #"/>
        <s v="Create a user flow that details out the step-by-step of the code sign-up process.&#10; &#10; * Does the code gate sign-up? (if you don‚Äôt have a code you can‚Äôt join)&#10; * Should there be a generic sign-up option that you can trigger your own code to 1 or more de"/>
        <s v="I can enter a code or scan a QR code to add an additional organization to my account."/>
        <s v="*Technical Statement:* In order to support deploying the iOS mobile app for the Shift-Giving project, an App Store Connect account will be utilized.&#10; &#10; *Acceptance Criteria:*&#10; &#10; * An App Store Connect account will be identified to be used for the Shift-Gi"/>
        <s v="*Workflow*&#10; &#10; As a user, I want to receive a push notification when I make a donation that thanks me for making a donation."/>
        <s v="*Technical Implementation*&#10; &#10; # Add the FCM Token field to the Users table. &#10; ## After the push notification permission is accepted by the user, add this token to the DB for that user&#10; # Given a campaign ID and Notification object { title, message, data }"/>
        <s v="*Assumption*&#10; &#10; # For starters, we are just adding the share to social buttons to the bottom of campaign posts that donors view"/>
        <s v="*Workflow*&#10; &#10; # As a user, I want to be able to schedule a post for later and have that post publish at the scheduled time.&#10; # In the Post creation, when we create a post scheduled for later, the published flag will be set to false.&#10; &#10; *Technical Details*"/>
        <s v="As an shift admin, I want to start a campaign so that users can donate to it.&#10; &#10; After starting my campaign, it should be public and available for users to donate to (?)&#10; &#10; &#10; &#10; !Screenshot 2024-06-05 at 11.50.47 AM-20240605-165053.png|width=684,height=494"/>
        <s v="[https://www.kolide.com/blog/kolide-s-30-line-rails-multi-tenant-strategy|https://www.kolide.com/blog/kolide-s-30-line-rails-multi-tenant-strategy|smart-link] &#10; &#10; [https://jumpstartrails.com/docs/multitenancy|https://jumpstartrails.com/docs/multitenancy|s"/>
        <s v="!Screenshot 2024-06-28 at 1.08.48 PM-20240628-180854.png|width=446,height=465,alt=&quot;Screenshot 2024-06-28 at 1.08.48 PM-20240628-180854.png&quot;!&#10; &#10; &#10; &#10; *Workflow*&#10; &#10; # As a user, I want to be able to manage my saved payment method so I can pay with a differen"/>
        <s v="*Workflow*&#10; &#10; # As a user, after checking out, but before the transaction is processed, I should be presented a prompt for saving my payment information for a faster checkout.&#10; # After the transaction has finished, if I make another donation, I should see"/>
        <s v="*Workflow*&#10; &#10; # As a user, after checking out, but before the transaction is processed, I should be able to check a box that says ‚ÄúSave payment information‚Äù for a faster checkout.&#10; # After the transaction has finished, if I make another donation, I sh"/>
        <s v="As a user, when I click donate, I should be able to select an amount and enter payment details to donate to an organization so I can support them to the degree I want.&#10; &#10; !image-20240524-141743.png|width=770,height=532,alt=&quot;image-20240524-141743.png&quot;!&#10; &#10; "/>
        <s v="*Assumptions*&#10; &#10; # There is an account management page to add this to&#10; # Payment stuff is basically all done&#10; # Subscriptions can be started and we have the subscription Id"/>
        <s v="TIME BOX: 8 hours"/>
        <s v="As a campaign admin, I want to create posts to update donors or users that can see my organization about upcoming or ongoing campaigns.&#10; &#10; !image-20240529-140744.png|width=302,height=615,alt=&quot;image-20240529-140744.png&quot;!&#10; &#10; !image-20240529-140859.png|width"/>
        <s v="As a campaign admin, I want to create posts to update donors or users that can see my organization about upcoming or ongoing campaigns.&#10; &#10; &#10; &#10; !Screenshot 2024-06-05 at 1.08.02 PM-20240605-180808.png|width=934,height=695,alt=&quot;Screenshot 2024-06-05 at 1.08"/>
        <s v="!Screenshot 2024-06-28 at 1.12.00 PM-20240628-181206.png|width=385,height=130,alt=&quot;Screenshot 2024-06-28 at 1.12.00 PM-20240628-181206.png&quot;!&#10; &#10; Blocked by figma designs - once figma is done we should build this component to that specification&#10; &#10; *Technica"/>
        <s v="*Technical Statement:* In order to support storage of photos, an S3 bucket will need to exist in AWS for the Staging environment.&#10; &#10; *Acceptance Criteria:*&#10; &#10; * An S3 bucket exists in AWS for the staging environment"/>
        <s v="Use devise!&#10; &#10; * Make sure this automatically handles password resets/etc"/>
        <s v="When I click an email verification link, I am informed that my email has been verified and the verification flag on my account is set to true"/>
        <s v="!image-20240710-150406.png|width=316,height=680,alt=&quot;image-20240710-150406.png&quot;!&#10; &#10; &#10; &#10; *Workflow*&#10; &#10; As a donor user, I should be able to navigate to an account section where I can edit my account details.&#10; Screenshot 2024-07-10 at 9.08.33 AM&#10; &#10; &#10; On the"/>
        <s v="Outstanding questions:&#10; &#10; What permissions? How granular does granting permissions need to be or can it be totally role-based? Can I add a user to my org without granting permissions?"/>
        <s v="As a user, when I complete a donation I should receive a confirmation email with a tax receipt so that I can keep it for my records.&#10; &#10; *Workflow*&#10; &#10; # As a user, I make a donation to a campaign.&#10; # I receive an email informing me the payment has processe"/>
        <s v="!lPARshk6m_nImiXMIB2CQ4G9XKLRnzryCOlo6D3PURisoit8kvzHm_OuZ4Ix0fQeAbmCZ5C2FJDropfEf5Z4kBaZkpM2yLyioX_uy60NTVITT9SeaPOsRr2ct0ZroPlRXREj2d08NgN7z5N-0zmvEjk|width=100%!&#10; &#10; !0V7DCX7nqYx5lxEek5dJY8fEnHS9N4NejrQB-BcLS6t8JNEBhHQiCVNxwbAek3wL36BJkOLGeLOdjp1QnP_9YI"/>
        <s v="!Screenshot 2024-06-05 at 2.20.21 PM-20240605-192026.png|width=855,height=520,alt=&quot;Screenshot 2024-06-05 at 2.20.21 PM-20240605-192026.png&quot;!&#10; &#10; &#10; &#10; *Workflow*&#10; &#10; # As a new user, I navigate to the app and am prompted to enter an organization code to sign "/>
        <s v="*Infrastructure*&#10; &#10; # Active Storage setup&#10; &#10; *Story*&#10; &#10; As an org user, I want to upload one or multiple photos to a post so I can use visual media to tell a story.&#10; &#10; &#10; &#10; !image-20240529-154805.png|width=751,height=560,alt=&quot;image-20240529-154805.png&quot;!&#10; "/>
        <s v="As an org user, I want to be able to set push notification options for a campaign post so I can send push notifications to users apps to increase engagement.&#10; &#10; &#10; &#10; *Workflow*&#10; &#10; # When creating a post, I am presented with an option to ‚ÄúSend push notifi"/>
        <s v="As a user, when I create a post, I want to be able to set ‚ÄúShare to social‚Äù options&#10; &#10; * Set ‚Äòshare to social‚Äô options&#10; ** Can they integrate current social media platforms?&#10; ** API fees for existing platforms&#10; &#10; !3hzaQmBKgBXtIy6xYVxTsws4UI7-9qMoY"/>
        <s v="*Workflow*&#10; &#10; # As an org user, I want to be able to include a link to an uploaded video in a post.&#10; &#10; As an org user, when creating a post for a campaign, I want to be able to upload video to that post that&#10; &#10; * supports a wide variety of formats, qualit"/>
        <s v="!image-20240605-193354.png|width=870,height=643,alt=&quot;image-20240605-193354.png&quot;!&#10; &#10; &#10; &#10; *Workflow*&#10; &#10; # As a user, I navigate to the web page and am prompted for an org code or given the option to sign up as a new charity. &#10; ## If I select ‚ÄúJoin as a ne"/>
        <s v="As a user, I want to receive push notifications about campaigns I can donate to or have donated to be aware of campaign goals.&#10; &#10; &#10; &#10; !image-20240529-143642.png|width=302,height=615,alt=&quot;image-20240529-143642.png&quot;!&#10; &#10; *Workflow*&#10; &#10; # As a user, when a cam"/>
        <s v="*Technical Statement:* In order to support DNS routing and monitoring, a Cloudflare project will be created for the Shift-Giving application.&#10; &#10; *Acceptance Criteria:*&#10; &#10; * A project should exist in Cloudflare for the Shift-Giving application&#10; * All engin"/>
        <s v="*Technical Statement:* In order to support automated push notifications for the iOS mobile app in the staging environment, the FCM account will be setup to support the Shift-Giving iOS app.&#10; &#10; *Acceptance Criteria:*&#10; &#10; * The iOS mobile app is able to rece"/>
        <s v="*Technical Statement:* In order to support sending emails, a Mailgun account will be created for the Shift-Giving project.&#10; &#10; *Acceptance Criteria:*&#10; &#10; * A Mailgun project exists for the Shift-Giving application&#10; * All engineers have access to view and mo"/>
        <s v="*Technical Statement:* In order to support deploying the Android mobile app for the Shift-Giving project, an Google Play account will be utilized.&#10; &#10; *Acceptance Criteria:*&#10; &#10; * An Google Play account will be identified to be used for the Shift-Giving mob"/>
        <s v="As a campaign admin, I want to create posts to update donors or users that can see my organization about upcoming or ongoing campaigns.&#10; &#10; !image-20240529-140744.png|width=302,height=615,alt=&quot;image-20240529-140744.png&quot;!&#10; &#10; &#10; &#10; !Screenshot 2024-06-05 at 1."/>
        <s v="*Technical Statement:* In order to support deploying the iOS Mobile App to Test Users, a Testflight account will be created with App Store Connect.&#10; &#10; *Acceptance Criteria:*&#10; &#10; * A Testflight account will be setup that is integrated with App Store Connect"/>
        <s v="*Technical Statement:* In order to support deploying the Shift-Giving application to AWS infrastructure, a Buddy project needs to be setup.&#10; &#10; *Acceptance Criteria:*&#10; &#10; * A Buddy project exists for the Shift-Giving repository&#10; * All engineers have access "/>
        <s v="*Technical Statement:* In order to support creating infrastructure through code in AWS, a Terraform project needs to be created.&#10; &#10; *Acceptance Criteria:*&#10; &#10; * A Terraform project exists in Terraform Cloud for the Shift-Giving repository&#10; * Terraform has "/>
        <s v="*Technical Statement:* In order to support starting to configure infrastructure, an AWS account should exist for the Shift-Giving project.&#10; &#10; *Acceptance Criteria:*&#10; &#10; * An AWS account exists that is to be used for the Shift-Giving infrastructure&#10; * All e"/>
        <s v="*Technical Statement:* In order to support building and testing the Shift-Giving application, a CircleCI project will need to be setup.&#10; &#10; *Acceptance Criteria:*&#10; &#10; * A CircleCI project exists for the Shift-Giving repository&#10; * All engineers have access t"/>
        <s v="*Technical Statement:* In order to support version control for the Shift-Giving project, a GitHub repository should exist.&#10; &#10; *Acceptance Criteria:*&#10; &#10; * A Shift-Giving repository exists in GitHub under the Shift Interactive organization&#10; * All engineers "/>
        <s v="As an org user, I want to be able to review received donations to a campaign I‚Äôve created so I can track who has given, similar to the history page for a donor user:&#10; &#10; !image-20240531-142547.png|width=357,height=744,alt=&quot;image-20240531-142547.png&quot;!&#10; &#10; "/>
        <s v="As an org admin, I want to start a campaign so that users can donate to it.&#10; &#10; After starting my campaign, it should be public and available for users to donate to (?)&#10; &#10; &#10; &#10; !Screenshot 2024-06-05 at 11.50.47 AM-20240605-165053.png|width=684,height=494,a"/>
        <s v="Card to be broken out and maybe will be its own dedicated sprint. TODO: Get details of infrastructure conversations from WAG estimate documentation."/>
        <s v="As a user, I should be able to visit an organization profile so I can see their mission statement and donate.&#10; &#10; &#10; &#10; !Screenshot 2024-06-24 at 1.51.04 PM.png|width=388,height=830,alt=&quot;Screenshot 2024-06-24 at 1.51.04 PM.png&quot;!&#10; &#10; &#10; &#10; *Workflow*&#10; &#10; # As a u"/>
        <s v="As a user, I should be able to view a list of campaigns from organizations I belong to so I can find places to donate to.&#10; &#10; !image-20240524-140137.png|width=242,height=519,alt=&quot;image-20240524-140137.png&quot;!&#10; &#10; *Workflow*&#10; &#10; # As a user, when I navigate to "/>
        <s v="*Value Story:* As an organization, we want to be able to create posts so that we can broadcast news and opportunities for donations from donors to support our work and cause.&#10; &#10; *Acceptance Criteria:*&#10; &#10; * When viewing an existing campaign, organizations "/>
        <s v="*Value Story:* As an organization, we want to be able to manage existing campaigns so that we can keep opportunities for donations up to date.&#10; &#10; *Acceptance Criteria:*&#10; &#10; * When viewing a list of their existing campaigns, organizations are able to view/e"/>
        <s v="*Value Story:* As an donor, I want the ability to browse organization campaigns so that I can determine which campaigns I have interest in donating to.&#10; &#10; *Acceptance Criteria:*&#10; &#10; * After logging into the application, donors should see campaign feeds tha"/>
        <s v="Evaluate whether we need a component library or custom component approach."/>
        <s v="Form an initial recommendation for Push notification strategy. &#10; &#10; *Native push in React Native*- &#10; &#10; Firebase CM&#10; APNS&#10; (can look at Greekhouse Chefs example)&#10; &#10; *SMS*?"/>
        <s v="What‚Äôs an acceptable fee structure?&#10; What features are critical to our service? &#10; &#10; &#10; * Stripe - assumed too expensive&#10; * Vizypay - ?&#10; * Square&#10; * Paypal&#10; * Apple Pay/Google Pay&#10; * &#10; &#10; AC: &#10; Evaluate cost and capability of payment system options. Presen"/>
        <s v="React Native, Ruby On Rails, Postgres?"/>
        <s v="Possiblities:&#10; &#10; * Use a library or service: [Recommendify|https://github.com/asmuth/recommendify], [https://recommendifyapp.com/|https://recommendifyapp.com/|smart-link], [Predictor|https://github.com/nyagato-00/predictor], [https://github.com/ankane/dis"/>
        <s v="Mono-repository&#10; &#10; &#10; &#10; Environments&#10; &#10; &#10; &#10; * Production&#10; * Staging&#10; &#10; &#10; &#10; Application Architecture&#10; &#10; &#10; &#10; * Mobile Apps (Used by Donors)&#10; ** React Native&#10; *** iOS&#10; *** Android&#10; * Web Application (Used by Organizations/Administrators)&#10; ** Ruby on Rails&#10; * "/>
        <s v="As a donor, I want to &#10; &#10; * see a list of contributions I‚Äôve made through all-time history.&#10; * select individual donations to view a transaction receipt I can download/print for tax purposes. &#10; &#10; [https://www.irs.gov/charities-non-profits/charitable-org"/>
        <s v="[https://shiftinteractive.atlassian.net/browse/GIV-9|https://shiftinteractive.atlassian.net/browse/GIV-9|smart-link] &#10; &#10; *Manage Campaigns*&#10; &#10; As a Campaign Admin, I want to&#10; &#10; * Create a 501(3)(c) organization in the app to start my donation campaign&#10; * "/>
        <s v="*Admin*&#10; &#10; * Campaign List&#10; ** nested Post List per campaign&#10; * Archive Campaign&#10; * Hide/Remove post&#10; * _Post/Campaign Anayltics (later Epic)_&#10; * &#10; &#10; *View Campaign Detail*&#10; &#10; * Campaign Title&#10; * Beneficiary&#10; * Total raised&#10; * % of goal&#10; * List of donatio"/>
        <s v="*Description:* &#10; As a donor interacting with a campaign post, I can complete a one-time payment donation to a specific beneficiary or cause. &#10; &#10; * Select amount&#10; * Confirm amount&#10; * Submit donation&#10; * Donation confirmation&#10; ** Thank you message&#10; &#10; *Accept"/>
        <s v="A Simple Campaign is a series of Posts set up by an Org and grouped by a common purpose. A campaign includes the ability to create, edit, schedule and publish - both the campaign &amp; the individual posts. &#10; &#10; A Donor will be able to see posts iwith a call t"/>
        <s v="Efficient (&lt;2 min) sign-up for individuals&#10; &#10; * First Name&#10; * Last Name&#10; * Email address&#10; * Phone number&#10; * Set Password"/>
        <s v="Efficient (&lt;5 min) sign-up for 501(c)3 orgs &#10; &#10; * Org Name&#10; * Owner First name&#10; * Owner Last name&#10; * Upload logo&#10; * Email address&#10; * About our Org&#10; * Nonprofit EIN &#10; ** nine-digit tax ID number that IRS assigns to nonprofits, charities, organizations, and"/>
        <s v="Video:&#10; &#10; Bunny: [https://docs.bunny.net/reference/api-overview|https://docs.bunny.net/reference/api-overview|smart-link]&#10; &#10; * Transcoding&#10; * Storage&#10; * Video Player&#10; &#10; api.video: [https://api.video/|https://api.video/|smart-link]&#10; &#10; * Transcoding&#10; * CDN "/>
        <s v="Starting designs and mockups to inform front-end estimation&#10; &#10; +Identified June 4 by dev team:+ &#10; &#10; {quote}*Donations - Mobile*&#10; &#10; Checking out with a saved payment method&#10; &#10; Saving a a payment method after a transaction&#10; &#10; Adding a payment method outside"/>
        <s v="Research and evaluation of potential architecture, integrations, etc."/>
      </sharedItems>
    </cacheField>
    <cacheField name="Parent" numFmtId="0">
      <sharedItems containsString="0" containsBlank="1" containsNumber="1" containsInteger="1">
        <n v="62477.0"/>
        <n v="63308.0"/>
        <n v="63306.0"/>
        <n v="63305.0"/>
        <n v="62565.0"/>
        <n v="62482.0"/>
        <m/>
        <n v="63307.0"/>
        <n v="62450.0"/>
        <n v="62483.0"/>
        <n v="62428.0"/>
        <n v="62442.0"/>
        <n v="62580.0"/>
        <n v="63309.0"/>
        <n v="62446.0"/>
        <n v="62447.0"/>
        <n v="62444.0"/>
        <n v="62449.0"/>
        <n v="62427.0"/>
      </sharedItems>
    </cacheField>
    <cacheField name="Parent summary" numFmtId="0">
      <sharedItems containsBlank="1">
        <s v="Browse Campaigns"/>
        <s v="User Subscriptions"/>
        <s v="User Mgmt/Profile"/>
        <s v="Org Mgmt/Profile"/>
        <s v="Prod environment"/>
        <s v="Manage Campaign"/>
        <m/>
        <s v="User Login"/>
        <s v="MVP staging environment"/>
        <s v="Publish Post"/>
        <s v="MVP UI/UX"/>
        <s v="Org Sign-up"/>
        <s v="Push notifications"/>
        <s v="Super Admin"/>
        <s v="Accept Donation"/>
        <s v="Campaign Admin"/>
        <s v="Donor Sign-up"/>
        <s v="Display Donor Giving History"/>
        <s v="Technical Discovery"/>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3" cacheId="0" dataCaption="" compact="0" compactData="0">
  <location ref="A1:B16" firstHeaderRow="0" firstDataRow="1" firstDataCol="0"/>
  <pivotFields>
    <pivotField name="Issue Type" compact="0" outline="0" multipleItemSelectionAllowed="1" showAll="0">
      <items>
        <item x="0"/>
        <item x="1"/>
        <item t="default"/>
      </items>
    </pivotField>
    <pivotField name="Issue ke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Issu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Summ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ame="Assignee" compact="0" outline="0" multipleItemSelectionAllowed="1" showAll="0">
      <items>
        <item x="0"/>
        <item x="1"/>
        <item x="2"/>
        <item x="3"/>
        <item x="4"/>
        <item x="5"/>
        <item t="default"/>
      </items>
    </pivotField>
    <pivotField name="Assignee Id" compact="0" outline="0" multipleItemSelectionAllowed="1" showAll="0">
      <items>
        <item x="0"/>
        <item x="1"/>
        <item x="2"/>
        <item x="3"/>
        <item x="4"/>
        <item x="5"/>
        <item t="default"/>
      </items>
    </pivotField>
    <pivotField name="Status" compact="0" outline="0" multipleItemSelectionAllowed="1" showAll="0">
      <items>
        <item x="0"/>
        <item x="1"/>
        <item t="default"/>
      </items>
    </pivotField>
    <pivotField name="Sprint" axis="axisRow" compact="0" outline="0" multipleItemSelectionAllowed="1" showAll="0" sortType="ascending">
      <items>
        <item h="1" x="7"/>
        <item x="15"/>
        <item x="9"/>
        <item x="6"/>
        <item x="5"/>
        <item x="11"/>
        <item x="2"/>
        <item x="10"/>
        <item x="3"/>
        <item x="13"/>
        <item x="14"/>
        <item x="4"/>
        <item x="0"/>
        <item x="1"/>
        <item x="8"/>
        <item h="1" x="12"/>
        <item t="default"/>
      </items>
    </pivotField>
    <pivotField name="Status Category Changed" compact="0" outline="0" multipleItemSelectionAllowed="1" showAll="0">
      <items>
        <item x="0"/>
        <item x="1"/>
        <item x="2"/>
        <item x="3"/>
        <item t="default"/>
      </items>
    </pivotField>
    <pivotField name="Hours" dataField="1" compact="0" outline="0" multipleItemSelectionAllowed="1" showAll="0">
      <items>
        <item x="0"/>
        <item x="1"/>
        <item x="2"/>
        <item x="3"/>
        <item x="4"/>
        <item x="5"/>
        <item x="6"/>
        <item x="7"/>
        <item x="8"/>
        <item x="9"/>
        <item x="10"/>
        <item x="11"/>
        <item x="12"/>
        <item x="13"/>
        <item x="14"/>
        <item x="15"/>
        <item x="16"/>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Parent" compact="0" outline="0" multipleItemSelectionAllowed="1" showAll="0">
      <items>
        <item x="0"/>
        <item x="1"/>
        <item x="2"/>
        <item x="3"/>
        <item x="4"/>
        <item x="5"/>
        <item x="6"/>
        <item x="7"/>
        <item x="8"/>
        <item x="9"/>
        <item x="10"/>
        <item x="11"/>
        <item x="12"/>
        <item x="13"/>
        <item x="14"/>
        <item x="15"/>
        <item x="16"/>
        <item x="17"/>
        <item x="18"/>
        <item t="default"/>
      </items>
    </pivotField>
    <pivotField name="Parent summary"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7"/>
  </rowFields>
  <dataFields>
    <dataField name="SUM of Hours" fld="9" baseField="0"/>
  </dataFields>
</pivotTableDefinition>
</file>

<file path=xl/pivotTables/pivotTable2.xml><?xml version="1.0" encoding="utf-8"?>
<pivotTableDefinition xmlns="http://schemas.openxmlformats.org/spreadsheetml/2006/main" name="Pivot Table 1" cacheId="1" dataCaption="" compact="0" compactData="0">
  <location ref="A1:B21" firstHeaderRow="0" firstDataRow="1" firstDataCol="0"/>
  <pivotFields>
    <pivotField name="Issue Type" compact="0" outline="0" multipleItemSelectionAllowed="1" showAll="0">
      <items>
        <item x="0"/>
        <item x="1"/>
        <item x="2"/>
        <item t="default"/>
      </items>
    </pivotField>
    <pivotField name="Issue ke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name="Issu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t="default"/>
      </items>
    </pivotField>
    <pivotField name="Summ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name="Assignee" compact="0" outline="0" multipleItemSelectionAllowed="1" showAll="0">
      <items>
        <item x="0"/>
        <item x="1"/>
        <item x="2"/>
        <item x="3"/>
        <item x="4"/>
        <item x="5"/>
        <item t="default"/>
      </items>
    </pivotField>
    <pivotField name="Assignee Id" compact="0" outline="0" multipleItemSelectionAllowed="1" showAll="0">
      <items>
        <item x="0"/>
        <item x="1"/>
        <item x="2"/>
        <item x="3"/>
        <item x="4"/>
        <item x="5"/>
        <item t="default"/>
      </items>
    </pivotField>
    <pivotField name="Status" compact="0" outline="0" multipleItemSelectionAllowed="1" showAll="0">
      <items>
        <item x="0"/>
        <item x="1"/>
        <item x="2"/>
        <item t="default"/>
      </items>
    </pivotField>
    <pivotField name="Sprint" compact="0" outline="0" multipleItemSelectionAllowed="1" showAll="0">
      <items>
        <item x="0"/>
        <item x="1"/>
        <item x="2"/>
        <item x="3"/>
        <item x="4"/>
        <item x="5"/>
        <item x="6"/>
        <item x="7"/>
        <item x="8"/>
        <item x="9"/>
        <item x="10"/>
        <item x="11"/>
        <item x="12"/>
        <item x="13"/>
        <item x="14"/>
        <item x="15"/>
        <item t="default"/>
      </items>
    </pivotField>
    <pivotField name="Status Category Changed" compact="0" outline="0" multipleItemSelectionAllowed="1" showAll="0">
      <items>
        <item x="0"/>
        <item x="1"/>
        <item x="2"/>
        <item x="3"/>
        <item x="4"/>
        <item t="default"/>
      </items>
    </pivotField>
    <pivotField name="Hours" dataField="1" compact="0" outline="0" multipleItemSelectionAllowed="1" showAll="0">
      <items>
        <item x="0"/>
        <item x="1"/>
        <item x="2"/>
        <item x="3"/>
        <item x="4"/>
        <item x="5"/>
        <item x="6"/>
        <item x="7"/>
        <item x="8"/>
        <item x="9"/>
        <item x="10"/>
        <item x="11"/>
        <item x="12"/>
        <item x="13"/>
        <item x="14"/>
        <item x="15"/>
        <item x="16"/>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Parent" compact="0" outline="0" multipleItemSelectionAllowed="1" showAll="0">
      <items>
        <item x="0"/>
        <item x="1"/>
        <item x="2"/>
        <item x="3"/>
        <item x="4"/>
        <item x="5"/>
        <item x="6"/>
        <item x="7"/>
        <item x="8"/>
        <item x="9"/>
        <item x="10"/>
        <item x="11"/>
        <item x="12"/>
        <item x="13"/>
        <item x="14"/>
        <item x="15"/>
        <item x="16"/>
        <item x="17"/>
        <item x="18"/>
        <item t="default"/>
      </items>
    </pivotField>
    <pivotField name="Parent summary" axis="axisRow" compact="0" outline="0" multipleItemSelectionAllowed="1" showAll="0" sortType="ascending">
      <items>
        <item x="6"/>
        <item x="14"/>
        <item x="0"/>
        <item x="15"/>
        <item x="17"/>
        <item x="16"/>
        <item x="5"/>
        <item x="8"/>
        <item x="10"/>
        <item x="3"/>
        <item x="11"/>
        <item x="4"/>
        <item x="9"/>
        <item x="12"/>
        <item x="13"/>
        <item x="18"/>
        <item x="7"/>
        <item x="2"/>
        <item x="1"/>
        <item t="default"/>
      </items>
    </pivotField>
  </pivotFields>
  <rowFields>
    <field x="12"/>
  </rowFields>
  <dataFields>
    <dataField name="SUM of Hours" fld="9" baseField="0"/>
  </dataFields>
</pivotTableDefinition>
</file>

<file path=xl/tables/table1.xml><?xml version="1.0" encoding="utf-8"?>
<table xmlns="http://schemas.openxmlformats.org/spreadsheetml/2006/main" ref="A3:D24" displayName="Table_1" name="Table_1" id="1">
  <tableColumns count="4">
    <tableColumn name="Parent summary" id="1"/>
    <tableColumn name="SUM of Hours" id="2"/>
    <tableColumn name="Unknown Modifier " id="3"/>
    <tableColumn name="Total" id="4"/>
  </tableColumns>
  <tableStyleInfo name="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2">
        <v>63388.0</v>
      </c>
      <c r="D2" s="1" t="s">
        <v>15</v>
      </c>
      <c r="G2" s="1" t="s">
        <v>16</v>
      </c>
      <c r="H2" s="1" t="s">
        <v>17</v>
      </c>
      <c r="I2" s="3" t="s">
        <v>18</v>
      </c>
      <c r="J2" s="2">
        <v>16.0</v>
      </c>
      <c r="K2" s="4"/>
      <c r="L2" s="2">
        <v>62477.0</v>
      </c>
      <c r="M2" s="1" t="s">
        <v>19</v>
      </c>
    </row>
    <row r="3">
      <c r="A3" s="1" t="s">
        <v>13</v>
      </c>
      <c r="B3" s="1" t="s">
        <v>20</v>
      </c>
      <c r="C3" s="2">
        <v>63387.0</v>
      </c>
      <c r="D3" s="1" t="s">
        <v>21</v>
      </c>
      <c r="G3" s="1" t="s">
        <v>16</v>
      </c>
      <c r="H3" s="1" t="s">
        <v>17</v>
      </c>
      <c r="I3" s="3" t="s">
        <v>18</v>
      </c>
      <c r="J3" s="2">
        <v>16.0</v>
      </c>
      <c r="K3" s="4"/>
      <c r="L3" s="2">
        <v>63308.0</v>
      </c>
      <c r="M3" s="1" t="s">
        <v>22</v>
      </c>
    </row>
    <row r="4">
      <c r="A4" s="1" t="s">
        <v>13</v>
      </c>
      <c r="B4" s="1" t="s">
        <v>23</v>
      </c>
      <c r="C4" s="2">
        <v>63386.0</v>
      </c>
      <c r="D4" s="1" t="s">
        <v>24</v>
      </c>
      <c r="G4" s="1" t="s">
        <v>16</v>
      </c>
      <c r="H4" s="1" t="s">
        <v>17</v>
      </c>
      <c r="I4" s="3" t="s">
        <v>18</v>
      </c>
      <c r="J4" s="2">
        <v>24.0</v>
      </c>
      <c r="K4" s="5" t="s">
        <v>25</v>
      </c>
      <c r="L4" s="2">
        <v>63306.0</v>
      </c>
      <c r="M4" s="1" t="s">
        <v>26</v>
      </c>
    </row>
    <row r="5">
      <c r="A5" s="1" t="s">
        <v>13</v>
      </c>
      <c r="B5" s="1" t="s">
        <v>27</v>
      </c>
      <c r="C5" s="2">
        <v>63385.0</v>
      </c>
      <c r="D5" s="1" t="s">
        <v>28</v>
      </c>
      <c r="G5" s="1" t="s">
        <v>16</v>
      </c>
      <c r="H5" s="1" t="s">
        <v>29</v>
      </c>
      <c r="I5" s="3" t="s">
        <v>18</v>
      </c>
      <c r="J5" s="2">
        <v>24.0</v>
      </c>
      <c r="K5" s="4"/>
      <c r="L5" s="2">
        <v>63305.0</v>
      </c>
      <c r="M5" s="1" t="s">
        <v>30</v>
      </c>
    </row>
    <row r="6">
      <c r="A6" s="1" t="s">
        <v>13</v>
      </c>
      <c r="B6" s="1" t="s">
        <v>31</v>
      </c>
      <c r="C6" s="2">
        <v>63384.0</v>
      </c>
      <c r="D6" s="1" t="s">
        <v>32</v>
      </c>
      <c r="G6" s="1" t="s">
        <v>16</v>
      </c>
      <c r="H6" s="1" t="s">
        <v>33</v>
      </c>
      <c r="I6" s="3" t="s">
        <v>18</v>
      </c>
      <c r="J6" s="2">
        <v>90.0</v>
      </c>
      <c r="K6" s="4"/>
      <c r="L6" s="2">
        <v>62565.0</v>
      </c>
      <c r="M6" s="1" t="s">
        <v>34</v>
      </c>
    </row>
    <row r="7">
      <c r="A7" s="1" t="s">
        <v>13</v>
      </c>
      <c r="B7" s="1" t="s">
        <v>35</v>
      </c>
      <c r="C7" s="2">
        <v>63383.0</v>
      </c>
      <c r="D7" s="1" t="s">
        <v>36</v>
      </c>
      <c r="G7" s="1" t="s">
        <v>16</v>
      </c>
      <c r="H7" s="1" t="s">
        <v>37</v>
      </c>
      <c r="I7" s="3" t="s">
        <v>18</v>
      </c>
      <c r="J7" s="2">
        <v>18.0</v>
      </c>
      <c r="K7" s="5" t="s">
        <v>38</v>
      </c>
      <c r="L7" s="2">
        <v>62482.0</v>
      </c>
      <c r="M7" s="1" t="s">
        <v>39</v>
      </c>
    </row>
    <row r="8">
      <c r="A8" s="1" t="s">
        <v>13</v>
      </c>
      <c r="B8" s="1" t="s">
        <v>40</v>
      </c>
      <c r="C8" s="2">
        <v>63382.0</v>
      </c>
      <c r="D8" s="1" t="s">
        <v>41</v>
      </c>
      <c r="F8" s="4"/>
      <c r="G8" s="1" t="s">
        <v>16</v>
      </c>
      <c r="H8" s="1" t="s">
        <v>42</v>
      </c>
      <c r="I8" s="3" t="s">
        <v>18</v>
      </c>
      <c r="J8" s="2">
        <v>24.0</v>
      </c>
      <c r="K8" s="1" t="s">
        <v>43</v>
      </c>
    </row>
    <row r="9">
      <c r="A9" s="1" t="s">
        <v>13</v>
      </c>
      <c r="B9" s="1" t="s">
        <v>44</v>
      </c>
      <c r="C9" s="2">
        <v>63381.0</v>
      </c>
      <c r="D9" s="1" t="s">
        <v>45</v>
      </c>
      <c r="G9" s="1" t="s">
        <v>16</v>
      </c>
      <c r="H9" s="1" t="s">
        <v>42</v>
      </c>
      <c r="I9" s="3" t="s">
        <v>18</v>
      </c>
      <c r="J9" s="2">
        <v>24.0</v>
      </c>
      <c r="K9" s="1" t="s">
        <v>46</v>
      </c>
    </row>
    <row r="10">
      <c r="A10" s="1" t="s">
        <v>13</v>
      </c>
      <c r="B10" s="1" t="s">
        <v>47</v>
      </c>
      <c r="C10" s="2">
        <v>63380.0</v>
      </c>
      <c r="D10" s="1" t="s">
        <v>48</v>
      </c>
      <c r="F10" s="4"/>
      <c r="G10" s="1" t="s">
        <v>16</v>
      </c>
      <c r="H10" s="1" t="s">
        <v>49</v>
      </c>
      <c r="I10" s="3" t="s">
        <v>18</v>
      </c>
      <c r="J10" s="2">
        <v>80.0</v>
      </c>
      <c r="K10" s="5" t="s">
        <v>50</v>
      </c>
      <c r="L10" s="4"/>
      <c r="M10" s="4"/>
    </row>
    <row r="11">
      <c r="A11" s="1" t="s">
        <v>13</v>
      </c>
      <c r="B11" s="1" t="s">
        <v>51</v>
      </c>
      <c r="C11" s="2">
        <v>63379.0</v>
      </c>
      <c r="D11" s="1" t="s">
        <v>52</v>
      </c>
      <c r="F11" s="4"/>
      <c r="G11" s="1" t="s">
        <v>16</v>
      </c>
      <c r="H11" s="1" t="s">
        <v>49</v>
      </c>
      <c r="I11" s="3" t="s">
        <v>18</v>
      </c>
      <c r="J11" s="2">
        <v>32.0</v>
      </c>
      <c r="K11" s="5" t="s">
        <v>53</v>
      </c>
      <c r="L11" s="2">
        <v>63305.0</v>
      </c>
      <c r="M11" s="1" t="s">
        <v>30</v>
      </c>
    </row>
    <row r="12">
      <c r="A12" s="1" t="s">
        <v>13</v>
      </c>
      <c r="B12" s="1" t="s">
        <v>54</v>
      </c>
      <c r="C12" s="2">
        <v>63378.0</v>
      </c>
      <c r="D12" s="1" t="s">
        <v>55</v>
      </c>
      <c r="G12" s="1" t="s">
        <v>16</v>
      </c>
      <c r="H12" s="1" t="s">
        <v>56</v>
      </c>
      <c r="I12" s="3" t="s">
        <v>18</v>
      </c>
      <c r="J12" s="2">
        <v>32.0</v>
      </c>
      <c r="K12" s="5" t="s">
        <v>57</v>
      </c>
      <c r="L12" s="2">
        <v>63305.0</v>
      </c>
      <c r="M12" s="1" t="s">
        <v>30</v>
      </c>
    </row>
    <row r="13">
      <c r="A13" s="1" t="s">
        <v>13</v>
      </c>
      <c r="B13" s="1" t="s">
        <v>58</v>
      </c>
      <c r="C13" s="2">
        <v>63331.0</v>
      </c>
      <c r="D13" s="1" t="s">
        <v>59</v>
      </c>
      <c r="G13" s="1" t="s">
        <v>16</v>
      </c>
      <c r="H13" s="4"/>
      <c r="I13" s="3" t="s">
        <v>18</v>
      </c>
      <c r="J13" s="4"/>
      <c r="K13" s="5" t="s">
        <v>60</v>
      </c>
      <c r="L13" s="4"/>
      <c r="M13" s="4"/>
    </row>
    <row r="14">
      <c r="A14" s="1" t="s">
        <v>13</v>
      </c>
      <c r="B14" s="1" t="s">
        <v>61</v>
      </c>
      <c r="C14" s="2">
        <v>63330.0</v>
      </c>
      <c r="D14" s="1" t="s">
        <v>62</v>
      </c>
      <c r="G14" s="1" t="s">
        <v>16</v>
      </c>
      <c r="H14" s="4"/>
      <c r="I14" s="3" t="s">
        <v>18</v>
      </c>
      <c r="J14" s="4"/>
      <c r="K14" s="5" t="s">
        <v>63</v>
      </c>
      <c r="L14" s="4"/>
      <c r="M14" s="4"/>
    </row>
    <row r="15">
      <c r="A15" s="1" t="s">
        <v>13</v>
      </c>
      <c r="B15" s="1" t="s">
        <v>64</v>
      </c>
      <c r="C15" s="2">
        <v>63322.0</v>
      </c>
      <c r="D15" s="1" t="s">
        <v>65</v>
      </c>
      <c r="G15" s="1" t="s">
        <v>16</v>
      </c>
      <c r="H15" s="1" t="s">
        <v>66</v>
      </c>
      <c r="I15" s="3" t="s">
        <v>18</v>
      </c>
      <c r="J15" s="2">
        <v>6.0</v>
      </c>
      <c r="K15" s="5" t="s">
        <v>67</v>
      </c>
      <c r="L15" s="2">
        <v>63307.0</v>
      </c>
      <c r="M15" s="1" t="s">
        <v>68</v>
      </c>
    </row>
    <row r="16">
      <c r="A16" s="1" t="s">
        <v>69</v>
      </c>
      <c r="B16" s="1" t="s">
        <v>70</v>
      </c>
      <c r="C16" s="2">
        <v>63310.0</v>
      </c>
      <c r="D16" s="1" t="s">
        <v>71</v>
      </c>
      <c r="F16" s="4"/>
      <c r="G16" s="1" t="s">
        <v>16</v>
      </c>
      <c r="H16" s="4"/>
      <c r="I16" s="3" t="s">
        <v>18</v>
      </c>
      <c r="J16" s="4"/>
      <c r="K16" s="4"/>
      <c r="L16" s="4"/>
      <c r="M16" s="4"/>
    </row>
    <row r="17">
      <c r="A17" s="1" t="s">
        <v>69</v>
      </c>
      <c r="B17" s="1" t="s">
        <v>72</v>
      </c>
      <c r="C17" s="2">
        <v>63309.0</v>
      </c>
      <c r="D17" s="1" t="s">
        <v>73</v>
      </c>
      <c r="E17" s="4"/>
      <c r="F17" s="4"/>
      <c r="G17" s="1" t="s">
        <v>16</v>
      </c>
      <c r="H17" s="4"/>
      <c r="I17" s="3" t="s">
        <v>18</v>
      </c>
      <c r="J17" s="4"/>
      <c r="K17" s="4"/>
      <c r="L17" s="4"/>
      <c r="M17" s="4"/>
    </row>
    <row r="18">
      <c r="A18" s="1" t="s">
        <v>69</v>
      </c>
      <c r="B18" s="1" t="s">
        <v>74</v>
      </c>
      <c r="C18" s="2">
        <v>63308.0</v>
      </c>
      <c r="D18" s="1" t="s">
        <v>22</v>
      </c>
      <c r="F18" s="4"/>
      <c r="G18" s="1" t="s">
        <v>16</v>
      </c>
      <c r="H18" s="4"/>
      <c r="I18" s="3" t="s">
        <v>18</v>
      </c>
      <c r="J18" s="4"/>
      <c r="K18" s="4"/>
      <c r="L18" s="4"/>
      <c r="M18" s="4"/>
    </row>
    <row r="19">
      <c r="A19" s="1" t="s">
        <v>69</v>
      </c>
      <c r="B19" s="1" t="s">
        <v>75</v>
      </c>
      <c r="C19" s="2">
        <v>63307.0</v>
      </c>
      <c r="D19" s="1" t="s">
        <v>68</v>
      </c>
      <c r="E19" s="4"/>
      <c r="F19" s="4"/>
      <c r="G19" s="1" t="s">
        <v>16</v>
      </c>
      <c r="H19" s="4"/>
      <c r="I19" s="3" t="s">
        <v>18</v>
      </c>
      <c r="J19" s="4"/>
      <c r="K19" s="4"/>
      <c r="L19" s="4"/>
      <c r="M19" s="4"/>
    </row>
    <row r="20">
      <c r="A20" s="1" t="s">
        <v>69</v>
      </c>
      <c r="B20" s="1" t="s">
        <v>76</v>
      </c>
      <c r="C20" s="2">
        <v>63306.0</v>
      </c>
      <c r="D20" s="1" t="s">
        <v>26</v>
      </c>
      <c r="E20" s="1" t="s">
        <v>77</v>
      </c>
      <c r="F20" s="1" t="s">
        <v>78</v>
      </c>
      <c r="G20" s="1" t="s">
        <v>16</v>
      </c>
      <c r="H20" s="4"/>
      <c r="I20" s="3" t="s">
        <v>18</v>
      </c>
      <c r="J20" s="4"/>
      <c r="K20" s="5" t="s">
        <v>79</v>
      </c>
      <c r="L20" s="4"/>
      <c r="M20" s="4"/>
    </row>
    <row r="21">
      <c r="A21" s="1" t="s">
        <v>69</v>
      </c>
      <c r="B21" s="1" t="s">
        <v>80</v>
      </c>
      <c r="C21" s="2">
        <v>63305.0</v>
      </c>
      <c r="D21" s="1" t="s">
        <v>30</v>
      </c>
      <c r="F21" s="4"/>
      <c r="G21" s="1" t="s">
        <v>16</v>
      </c>
      <c r="H21" s="4"/>
      <c r="I21" s="3" t="s">
        <v>18</v>
      </c>
      <c r="J21" s="4"/>
      <c r="K21" s="5" t="s">
        <v>81</v>
      </c>
      <c r="L21" s="4"/>
      <c r="M21" s="4"/>
    </row>
    <row r="22">
      <c r="A22" s="1" t="s">
        <v>13</v>
      </c>
      <c r="B22" s="1" t="s">
        <v>82</v>
      </c>
      <c r="C22" s="2">
        <v>63291.0</v>
      </c>
      <c r="D22" s="1" t="s">
        <v>83</v>
      </c>
      <c r="G22" s="1" t="s">
        <v>16</v>
      </c>
      <c r="H22" s="1" t="s">
        <v>84</v>
      </c>
      <c r="I22" s="3" t="s">
        <v>18</v>
      </c>
      <c r="J22" s="2">
        <v>8.0</v>
      </c>
      <c r="K22" s="5" t="s">
        <v>85</v>
      </c>
      <c r="L22" s="2">
        <v>62450.0</v>
      </c>
      <c r="M22" s="1" t="s">
        <v>86</v>
      </c>
    </row>
    <row r="23">
      <c r="A23" s="1" t="s">
        <v>13</v>
      </c>
      <c r="B23" s="1" t="s">
        <v>87</v>
      </c>
      <c r="C23" s="2">
        <v>63290.0</v>
      </c>
      <c r="D23" s="1" t="s">
        <v>88</v>
      </c>
      <c r="G23" s="1" t="s">
        <v>16</v>
      </c>
      <c r="H23" s="1" t="s">
        <v>84</v>
      </c>
      <c r="I23" s="3" t="s">
        <v>18</v>
      </c>
      <c r="J23" s="2">
        <v>2.0</v>
      </c>
      <c r="K23" s="5" t="s">
        <v>89</v>
      </c>
      <c r="L23" s="2">
        <v>62450.0</v>
      </c>
      <c r="M23" s="1" t="s">
        <v>86</v>
      </c>
    </row>
    <row r="24">
      <c r="A24" s="1" t="s">
        <v>13</v>
      </c>
      <c r="B24" s="1" t="s">
        <v>90</v>
      </c>
      <c r="C24" s="2">
        <v>63289.0</v>
      </c>
      <c r="D24" s="1" t="s">
        <v>91</v>
      </c>
      <c r="G24" s="1" t="s">
        <v>16</v>
      </c>
      <c r="H24" s="1" t="s">
        <v>84</v>
      </c>
      <c r="I24" s="3" t="s">
        <v>18</v>
      </c>
      <c r="J24" s="2">
        <v>6.0</v>
      </c>
      <c r="K24" s="5" t="s">
        <v>92</v>
      </c>
      <c r="L24" s="2">
        <v>62450.0</v>
      </c>
      <c r="M24" s="1" t="s">
        <v>86</v>
      </c>
    </row>
    <row r="25">
      <c r="A25" s="1" t="s">
        <v>13</v>
      </c>
      <c r="B25" s="1" t="s">
        <v>93</v>
      </c>
      <c r="C25" s="2">
        <v>63288.0</v>
      </c>
      <c r="D25" s="1" t="s">
        <v>94</v>
      </c>
      <c r="E25" s="4"/>
      <c r="F25" s="4"/>
      <c r="G25" s="1" t="s">
        <v>16</v>
      </c>
      <c r="H25" s="1" t="s">
        <v>84</v>
      </c>
      <c r="I25" s="3" t="s">
        <v>18</v>
      </c>
      <c r="J25" s="2">
        <v>1.0</v>
      </c>
      <c r="K25" s="5" t="s">
        <v>95</v>
      </c>
      <c r="L25" s="2">
        <v>62450.0</v>
      </c>
      <c r="M25" s="1" t="s">
        <v>86</v>
      </c>
    </row>
    <row r="26">
      <c r="A26" s="1" t="s">
        <v>13</v>
      </c>
      <c r="B26" s="1" t="s">
        <v>96</v>
      </c>
      <c r="C26" s="2">
        <v>63287.0</v>
      </c>
      <c r="D26" s="1" t="s">
        <v>97</v>
      </c>
      <c r="G26" s="1" t="s">
        <v>16</v>
      </c>
      <c r="H26" s="1" t="s">
        <v>84</v>
      </c>
      <c r="I26" s="3" t="s">
        <v>18</v>
      </c>
      <c r="J26" s="2">
        <v>12.0</v>
      </c>
      <c r="K26" s="5" t="s">
        <v>98</v>
      </c>
      <c r="L26" s="2">
        <v>62450.0</v>
      </c>
      <c r="M26" s="1" t="s">
        <v>86</v>
      </c>
    </row>
    <row r="27">
      <c r="A27" s="1" t="s">
        <v>13</v>
      </c>
      <c r="B27" s="1" t="s">
        <v>99</v>
      </c>
      <c r="C27" s="2">
        <v>63286.0</v>
      </c>
      <c r="D27" s="1" t="s">
        <v>100</v>
      </c>
      <c r="G27" s="1" t="s">
        <v>16</v>
      </c>
      <c r="H27" s="1" t="s">
        <v>84</v>
      </c>
      <c r="I27" s="3" t="s">
        <v>18</v>
      </c>
      <c r="J27" s="2">
        <v>4.0</v>
      </c>
      <c r="K27" s="5" t="s">
        <v>101</v>
      </c>
      <c r="L27" s="2">
        <v>62450.0</v>
      </c>
      <c r="M27" s="1" t="s">
        <v>86</v>
      </c>
    </row>
    <row r="28">
      <c r="A28" s="1" t="s">
        <v>13</v>
      </c>
      <c r="B28" s="1" t="s">
        <v>102</v>
      </c>
      <c r="C28" s="2">
        <v>63285.0</v>
      </c>
      <c r="D28" s="1" t="s">
        <v>103</v>
      </c>
      <c r="G28" s="1" t="s">
        <v>16</v>
      </c>
      <c r="H28" s="1" t="s">
        <v>84</v>
      </c>
      <c r="I28" s="3" t="s">
        <v>18</v>
      </c>
      <c r="J28" s="2">
        <v>2.0</v>
      </c>
      <c r="K28" s="5" t="s">
        <v>104</v>
      </c>
      <c r="L28" s="2">
        <v>62450.0</v>
      </c>
      <c r="M28" s="1" t="s">
        <v>86</v>
      </c>
    </row>
    <row r="29">
      <c r="A29" s="1" t="s">
        <v>13</v>
      </c>
      <c r="B29" s="1" t="s">
        <v>105</v>
      </c>
      <c r="C29" s="2">
        <v>63284.0</v>
      </c>
      <c r="D29" s="1" t="s">
        <v>106</v>
      </c>
      <c r="G29" s="1" t="s">
        <v>16</v>
      </c>
      <c r="H29" s="1" t="s">
        <v>84</v>
      </c>
      <c r="I29" s="3" t="s">
        <v>18</v>
      </c>
      <c r="J29" s="2">
        <v>4.0</v>
      </c>
      <c r="K29" s="5" t="s">
        <v>107</v>
      </c>
      <c r="L29" s="2">
        <v>62450.0</v>
      </c>
      <c r="M29" s="1" t="s">
        <v>86</v>
      </c>
    </row>
    <row r="30">
      <c r="A30" s="1" t="s">
        <v>13</v>
      </c>
      <c r="B30" s="1" t="s">
        <v>108</v>
      </c>
      <c r="C30" s="2">
        <v>63283.0</v>
      </c>
      <c r="D30" s="1" t="s">
        <v>109</v>
      </c>
      <c r="G30" s="1" t="s">
        <v>16</v>
      </c>
      <c r="H30" s="1" t="s">
        <v>84</v>
      </c>
      <c r="I30" s="3" t="s">
        <v>18</v>
      </c>
      <c r="J30" s="2">
        <v>1.0</v>
      </c>
      <c r="K30" s="5" t="s">
        <v>110</v>
      </c>
      <c r="L30" s="2">
        <v>62450.0</v>
      </c>
      <c r="M30" s="1" t="s">
        <v>86</v>
      </c>
    </row>
    <row r="31">
      <c r="A31" s="1" t="s">
        <v>13</v>
      </c>
      <c r="B31" s="1" t="s">
        <v>111</v>
      </c>
      <c r="C31" s="2">
        <v>63282.0</v>
      </c>
      <c r="D31" s="1" t="s">
        <v>112</v>
      </c>
      <c r="G31" s="1" t="s">
        <v>16</v>
      </c>
      <c r="H31" s="1" t="s">
        <v>84</v>
      </c>
      <c r="I31" s="3" t="s">
        <v>18</v>
      </c>
      <c r="J31" s="2">
        <v>6.0</v>
      </c>
      <c r="K31" s="5" t="s">
        <v>113</v>
      </c>
      <c r="L31" s="2">
        <v>62450.0</v>
      </c>
      <c r="M31" s="1" t="s">
        <v>86</v>
      </c>
    </row>
    <row r="32">
      <c r="A32" s="1" t="s">
        <v>13</v>
      </c>
      <c r="B32" s="1" t="s">
        <v>114</v>
      </c>
      <c r="C32" s="2">
        <v>63281.0</v>
      </c>
      <c r="D32" s="1" t="s">
        <v>115</v>
      </c>
      <c r="G32" s="1" t="s">
        <v>16</v>
      </c>
      <c r="H32" s="1" t="s">
        <v>84</v>
      </c>
      <c r="I32" s="3" t="s">
        <v>18</v>
      </c>
      <c r="J32" s="2">
        <v>2.0</v>
      </c>
      <c r="K32" s="5" t="s">
        <v>116</v>
      </c>
      <c r="L32" s="2">
        <v>62450.0</v>
      </c>
      <c r="M32" s="1" t="s">
        <v>86</v>
      </c>
    </row>
    <row r="33">
      <c r="A33" s="1" t="s">
        <v>13</v>
      </c>
      <c r="B33" s="1" t="s">
        <v>117</v>
      </c>
      <c r="C33" s="2">
        <v>63280.0</v>
      </c>
      <c r="D33" s="1" t="s">
        <v>118</v>
      </c>
      <c r="G33" s="1" t="s">
        <v>16</v>
      </c>
      <c r="H33" s="1" t="s">
        <v>84</v>
      </c>
      <c r="I33" s="3" t="s">
        <v>18</v>
      </c>
      <c r="J33" s="2">
        <v>5.0</v>
      </c>
      <c r="K33" s="5" t="s">
        <v>119</v>
      </c>
      <c r="L33" s="2">
        <v>62450.0</v>
      </c>
      <c r="M33" s="1" t="s">
        <v>86</v>
      </c>
    </row>
    <row r="34">
      <c r="A34" s="1" t="s">
        <v>13</v>
      </c>
      <c r="B34" s="1" t="s">
        <v>120</v>
      </c>
      <c r="C34" s="2">
        <v>63279.0</v>
      </c>
      <c r="D34" s="1" t="s">
        <v>121</v>
      </c>
      <c r="G34" s="1" t="s">
        <v>16</v>
      </c>
      <c r="H34" s="1" t="s">
        <v>84</v>
      </c>
      <c r="I34" s="3" t="s">
        <v>18</v>
      </c>
      <c r="J34" s="2">
        <v>2.0</v>
      </c>
      <c r="K34" s="5" t="s">
        <v>122</v>
      </c>
      <c r="L34" s="2">
        <v>62450.0</v>
      </c>
      <c r="M34" s="1" t="s">
        <v>86</v>
      </c>
    </row>
    <row r="35">
      <c r="A35" s="1" t="s">
        <v>13</v>
      </c>
      <c r="B35" s="1" t="s">
        <v>123</v>
      </c>
      <c r="C35" s="2">
        <v>63278.0</v>
      </c>
      <c r="D35" s="1" t="s">
        <v>124</v>
      </c>
      <c r="G35" s="1" t="s">
        <v>16</v>
      </c>
      <c r="H35" s="1" t="s">
        <v>84</v>
      </c>
      <c r="I35" s="3" t="s">
        <v>18</v>
      </c>
      <c r="J35" s="2">
        <v>4.0</v>
      </c>
      <c r="K35" s="5" t="s">
        <v>125</v>
      </c>
      <c r="L35" s="2">
        <v>62450.0</v>
      </c>
      <c r="M35" s="1" t="s">
        <v>86</v>
      </c>
    </row>
    <row r="36">
      <c r="A36" s="1" t="s">
        <v>13</v>
      </c>
      <c r="B36" s="1" t="s">
        <v>126</v>
      </c>
      <c r="C36" s="2">
        <v>63277.0</v>
      </c>
      <c r="D36" s="1" t="s">
        <v>127</v>
      </c>
      <c r="G36" s="1" t="s">
        <v>16</v>
      </c>
      <c r="H36" s="1" t="s">
        <v>84</v>
      </c>
      <c r="I36" s="3" t="s">
        <v>18</v>
      </c>
      <c r="J36" s="2">
        <v>1.0</v>
      </c>
      <c r="K36" s="5" t="s">
        <v>128</v>
      </c>
      <c r="L36" s="2">
        <v>62450.0</v>
      </c>
      <c r="M36" s="1" t="s">
        <v>86</v>
      </c>
    </row>
    <row r="37">
      <c r="A37" s="1" t="s">
        <v>13</v>
      </c>
      <c r="B37" s="1" t="s">
        <v>129</v>
      </c>
      <c r="C37" s="2">
        <v>63276.0</v>
      </c>
      <c r="D37" s="1" t="s">
        <v>130</v>
      </c>
      <c r="G37" s="1" t="s">
        <v>16</v>
      </c>
      <c r="H37" s="1" t="s">
        <v>84</v>
      </c>
      <c r="I37" s="3" t="s">
        <v>18</v>
      </c>
      <c r="J37" s="2">
        <v>1.0</v>
      </c>
      <c r="K37" s="5" t="s">
        <v>131</v>
      </c>
      <c r="L37" s="2">
        <v>62450.0</v>
      </c>
      <c r="M37" s="1" t="s">
        <v>86</v>
      </c>
    </row>
    <row r="38">
      <c r="A38" s="1" t="s">
        <v>13</v>
      </c>
      <c r="B38" s="1" t="s">
        <v>132</v>
      </c>
      <c r="C38" s="2">
        <v>63275.0</v>
      </c>
      <c r="D38" s="1" t="s">
        <v>133</v>
      </c>
      <c r="G38" s="1" t="s">
        <v>16</v>
      </c>
      <c r="H38" s="1" t="s">
        <v>84</v>
      </c>
      <c r="I38" s="3" t="s">
        <v>18</v>
      </c>
      <c r="J38" s="2">
        <v>2.0</v>
      </c>
      <c r="K38" s="5" t="s">
        <v>134</v>
      </c>
      <c r="L38" s="2">
        <v>62450.0</v>
      </c>
      <c r="M38" s="1" t="s">
        <v>86</v>
      </c>
    </row>
    <row r="39">
      <c r="A39" s="1" t="s">
        <v>13</v>
      </c>
      <c r="B39" s="1" t="s">
        <v>135</v>
      </c>
      <c r="C39" s="2">
        <v>63274.0</v>
      </c>
      <c r="D39" s="1" t="s">
        <v>136</v>
      </c>
      <c r="G39" s="1" t="s">
        <v>16</v>
      </c>
      <c r="H39" s="1" t="s">
        <v>84</v>
      </c>
      <c r="I39" s="3" t="s">
        <v>18</v>
      </c>
      <c r="J39" s="2">
        <v>1.0</v>
      </c>
      <c r="K39" s="5" t="s">
        <v>137</v>
      </c>
      <c r="L39" s="2">
        <v>62450.0</v>
      </c>
      <c r="M39" s="1" t="s">
        <v>86</v>
      </c>
    </row>
    <row r="40">
      <c r="A40" s="1" t="s">
        <v>13</v>
      </c>
      <c r="B40" s="1" t="s">
        <v>138</v>
      </c>
      <c r="C40" s="2">
        <v>63273.0</v>
      </c>
      <c r="D40" s="1" t="s">
        <v>139</v>
      </c>
      <c r="G40" s="1" t="s">
        <v>16</v>
      </c>
      <c r="H40" s="1" t="s">
        <v>84</v>
      </c>
      <c r="I40" s="3" t="s">
        <v>18</v>
      </c>
      <c r="J40" s="2">
        <v>1.0</v>
      </c>
      <c r="K40" s="5" t="s">
        <v>140</v>
      </c>
      <c r="L40" s="2">
        <v>62450.0</v>
      </c>
      <c r="M40" s="1" t="s">
        <v>86</v>
      </c>
    </row>
    <row r="41">
      <c r="A41" s="1" t="s">
        <v>13</v>
      </c>
      <c r="B41" s="1" t="s">
        <v>141</v>
      </c>
      <c r="C41" s="2">
        <v>63271.0</v>
      </c>
      <c r="D41" s="1" t="s">
        <v>142</v>
      </c>
      <c r="G41" s="1" t="s">
        <v>16</v>
      </c>
      <c r="H41" s="1" t="s">
        <v>84</v>
      </c>
      <c r="I41" s="3" t="s">
        <v>18</v>
      </c>
      <c r="J41" s="2">
        <v>1.0</v>
      </c>
      <c r="K41" s="5" t="s">
        <v>143</v>
      </c>
      <c r="L41" s="2">
        <v>62450.0</v>
      </c>
      <c r="M41" s="1" t="s">
        <v>86</v>
      </c>
    </row>
    <row r="42">
      <c r="A42" s="1" t="s">
        <v>13</v>
      </c>
      <c r="B42" s="1" t="s">
        <v>144</v>
      </c>
      <c r="C42" s="2">
        <v>63270.0</v>
      </c>
      <c r="D42" s="1" t="s">
        <v>145</v>
      </c>
      <c r="G42" s="1" t="s">
        <v>16</v>
      </c>
      <c r="H42" s="1" t="s">
        <v>84</v>
      </c>
      <c r="I42" s="3" t="s">
        <v>18</v>
      </c>
      <c r="J42" s="2">
        <v>2.0</v>
      </c>
      <c r="K42" s="5" t="s">
        <v>146</v>
      </c>
      <c r="L42" s="2">
        <v>62450.0</v>
      </c>
      <c r="M42" s="1" t="s">
        <v>86</v>
      </c>
    </row>
    <row r="43">
      <c r="A43" s="1" t="s">
        <v>13</v>
      </c>
      <c r="B43" s="1" t="s">
        <v>147</v>
      </c>
      <c r="C43" s="2">
        <v>63269.0</v>
      </c>
      <c r="D43" s="1" t="s">
        <v>148</v>
      </c>
      <c r="G43" s="1" t="s">
        <v>16</v>
      </c>
      <c r="H43" s="1" t="s">
        <v>84</v>
      </c>
      <c r="I43" s="3" t="s">
        <v>18</v>
      </c>
      <c r="J43" s="2">
        <v>2.0</v>
      </c>
      <c r="K43" s="5" t="s">
        <v>149</v>
      </c>
      <c r="L43" s="2">
        <v>62450.0</v>
      </c>
      <c r="M43" s="1" t="s">
        <v>86</v>
      </c>
    </row>
    <row r="44">
      <c r="A44" s="1" t="s">
        <v>13</v>
      </c>
      <c r="B44" s="1" t="s">
        <v>150</v>
      </c>
      <c r="C44" s="2">
        <v>63268.0</v>
      </c>
      <c r="D44" s="1" t="s">
        <v>151</v>
      </c>
      <c r="G44" s="1" t="s">
        <v>16</v>
      </c>
      <c r="H44" s="1" t="s">
        <v>84</v>
      </c>
      <c r="I44" s="3" t="s">
        <v>18</v>
      </c>
      <c r="J44" s="2">
        <v>2.0</v>
      </c>
      <c r="K44" s="5" t="s">
        <v>152</v>
      </c>
      <c r="L44" s="2">
        <v>62450.0</v>
      </c>
      <c r="M44" s="1" t="s">
        <v>86</v>
      </c>
    </row>
    <row r="45">
      <c r="A45" s="1" t="s">
        <v>13</v>
      </c>
      <c r="B45" s="1" t="s">
        <v>153</v>
      </c>
      <c r="C45" s="2">
        <v>63267.0</v>
      </c>
      <c r="D45" s="1" t="s">
        <v>154</v>
      </c>
      <c r="G45" s="1" t="s">
        <v>16</v>
      </c>
      <c r="H45" s="1" t="s">
        <v>155</v>
      </c>
      <c r="I45" s="3" t="s">
        <v>18</v>
      </c>
      <c r="J45" s="2">
        <v>8.0</v>
      </c>
      <c r="K45" s="5" t="s">
        <v>156</v>
      </c>
      <c r="L45" s="2">
        <v>63306.0</v>
      </c>
      <c r="M45" s="1" t="s">
        <v>26</v>
      </c>
    </row>
    <row r="46">
      <c r="A46" s="1" t="s">
        <v>13</v>
      </c>
      <c r="B46" s="1" t="s">
        <v>157</v>
      </c>
      <c r="C46" s="2">
        <v>63266.0</v>
      </c>
      <c r="D46" s="1" t="s">
        <v>158</v>
      </c>
      <c r="G46" s="1" t="s">
        <v>16</v>
      </c>
      <c r="H46" s="1" t="s">
        <v>56</v>
      </c>
      <c r="I46" s="3" t="s">
        <v>18</v>
      </c>
      <c r="J46" s="4"/>
      <c r="K46" s="4"/>
      <c r="L46" s="2">
        <v>63308.0</v>
      </c>
      <c r="M46" s="1" t="s">
        <v>22</v>
      </c>
    </row>
    <row r="47">
      <c r="A47" s="1" t="s">
        <v>13</v>
      </c>
      <c r="B47" s="1" t="s">
        <v>159</v>
      </c>
      <c r="C47" s="2">
        <v>63265.0</v>
      </c>
      <c r="D47" s="1" t="s">
        <v>160</v>
      </c>
      <c r="G47" s="1" t="s">
        <v>16</v>
      </c>
      <c r="H47" s="1" t="s">
        <v>84</v>
      </c>
      <c r="I47" s="3" t="s">
        <v>18</v>
      </c>
      <c r="J47" s="2">
        <v>3.0</v>
      </c>
      <c r="K47" s="5" t="s">
        <v>161</v>
      </c>
      <c r="L47" s="2">
        <v>62450.0</v>
      </c>
      <c r="M47" s="1" t="s">
        <v>86</v>
      </c>
    </row>
    <row r="48">
      <c r="A48" s="1" t="s">
        <v>13</v>
      </c>
      <c r="B48" s="1" t="s">
        <v>162</v>
      </c>
      <c r="C48" s="2">
        <v>63264.0</v>
      </c>
      <c r="D48" s="1" t="s">
        <v>163</v>
      </c>
      <c r="G48" s="1" t="s">
        <v>16</v>
      </c>
      <c r="H48" s="1" t="s">
        <v>84</v>
      </c>
      <c r="I48" s="3" t="s">
        <v>18</v>
      </c>
      <c r="J48" s="2">
        <v>3.0</v>
      </c>
      <c r="K48" s="5" t="s">
        <v>164</v>
      </c>
      <c r="L48" s="2">
        <v>62450.0</v>
      </c>
      <c r="M48" s="1" t="s">
        <v>86</v>
      </c>
    </row>
    <row r="49">
      <c r="A49" s="1" t="s">
        <v>13</v>
      </c>
      <c r="B49" s="1" t="s">
        <v>165</v>
      </c>
      <c r="C49" s="2">
        <v>62750.0</v>
      </c>
      <c r="D49" s="1" t="s">
        <v>166</v>
      </c>
      <c r="G49" s="1" t="s">
        <v>16</v>
      </c>
      <c r="H49" s="4"/>
      <c r="I49" s="3" t="s">
        <v>18</v>
      </c>
      <c r="J49" s="4"/>
      <c r="K49" s="4"/>
      <c r="L49" s="2">
        <v>62483.0</v>
      </c>
      <c r="M49" s="1" t="s">
        <v>167</v>
      </c>
    </row>
    <row r="50">
      <c r="A50" s="1" t="s">
        <v>13</v>
      </c>
      <c r="B50" s="1" t="s">
        <v>168</v>
      </c>
      <c r="C50" s="2">
        <v>62749.0</v>
      </c>
      <c r="D50" s="1" t="s">
        <v>169</v>
      </c>
      <c r="G50" s="1" t="s">
        <v>16</v>
      </c>
      <c r="H50" s="4"/>
      <c r="I50" s="3" t="s">
        <v>18</v>
      </c>
      <c r="J50" s="4"/>
      <c r="K50" s="1" t="s">
        <v>170</v>
      </c>
      <c r="L50" s="2">
        <v>62483.0</v>
      </c>
      <c r="M50" s="1" t="s">
        <v>167</v>
      </c>
    </row>
    <row r="51">
      <c r="A51" s="1" t="s">
        <v>13</v>
      </c>
      <c r="B51" s="1" t="s">
        <v>171</v>
      </c>
      <c r="C51" s="2">
        <v>62748.0</v>
      </c>
      <c r="D51" s="1" t="s">
        <v>172</v>
      </c>
      <c r="G51" s="1" t="s">
        <v>16</v>
      </c>
      <c r="H51" s="4"/>
      <c r="I51" s="3" t="s">
        <v>18</v>
      </c>
      <c r="J51" s="4"/>
      <c r="K51" s="4"/>
      <c r="L51" s="2">
        <v>62428.0</v>
      </c>
      <c r="M51" s="1" t="s">
        <v>173</v>
      </c>
    </row>
    <row r="52">
      <c r="A52" s="1" t="s">
        <v>13</v>
      </c>
      <c r="B52" s="1" t="s">
        <v>174</v>
      </c>
      <c r="C52" s="2">
        <v>62747.0</v>
      </c>
      <c r="D52" s="1" t="s">
        <v>175</v>
      </c>
      <c r="G52" s="1" t="s">
        <v>16</v>
      </c>
      <c r="H52" s="1" t="s">
        <v>17</v>
      </c>
      <c r="I52" s="3" t="s">
        <v>18</v>
      </c>
      <c r="J52" s="2">
        <v>8.0</v>
      </c>
      <c r="K52" s="5" t="s">
        <v>176</v>
      </c>
      <c r="L52" s="2">
        <v>63305.0</v>
      </c>
      <c r="M52" s="1" t="s">
        <v>30</v>
      </c>
    </row>
    <row r="53">
      <c r="A53" s="1" t="s">
        <v>13</v>
      </c>
      <c r="B53" s="1" t="s">
        <v>177</v>
      </c>
      <c r="C53" s="2">
        <v>62746.0</v>
      </c>
      <c r="D53" s="1" t="s">
        <v>178</v>
      </c>
      <c r="G53" s="1" t="s">
        <v>16</v>
      </c>
      <c r="H53" s="4"/>
      <c r="I53" s="3" t="s">
        <v>18</v>
      </c>
      <c r="J53" s="4"/>
      <c r="K53" s="5" t="s">
        <v>179</v>
      </c>
      <c r="L53" s="2">
        <v>62428.0</v>
      </c>
      <c r="M53" s="1" t="s">
        <v>173</v>
      </c>
    </row>
    <row r="54">
      <c r="A54" s="1" t="s">
        <v>13</v>
      </c>
      <c r="B54" s="1" t="s">
        <v>180</v>
      </c>
      <c r="C54" s="2">
        <v>62745.0</v>
      </c>
      <c r="D54" s="1" t="s">
        <v>181</v>
      </c>
      <c r="G54" s="1" t="s">
        <v>16</v>
      </c>
      <c r="H54" s="1" t="s">
        <v>182</v>
      </c>
      <c r="I54" s="3" t="s">
        <v>18</v>
      </c>
      <c r="J54" s="2">
        <v>24.0</v>
      </c>
      <c r="K54" s="1" t="s">
        <v>183</v>
      </c>
      <c r="L54" s="2">
        <v>63308.0</v>
      </c>
      <c r="M54" s="1" t="s">
        <v>22</v>
      </c>
    </row>
    <row r="55">
      <c r="A55" s="1" t="s">
        <v>13</v>
      </c>
      <c r="B55" s="1" t="s">
        <v>184</v>
      </c>
      <c r="C55" s="2">
        <v>62680.0</v>
      </c>
      <c r="D55" s="1" t="s">
        <v>185</v>
      </c>
      <c r="F55" s="4"/>
      <c r="G55" s="1" t="s">
        <v>16</v>
      </c>
      <c r="H55" s="1" t="s">
        <v>84</v>
      </c>
      <c r="I55" s="3" t="s">
        <v>18</v>
      </c>
      <c r="J55" s="2">
        <v>1.0</v>
      </c>
      <c r="K55" s="5" t="s">
        <v>186</v>
      </c>
      <c r="L55" s="2">
        <v>62450.0</v>
      </c>
      <c r="M55" s="1" t="s">
        <v>86</v>
      </c>
    </row>
    <row r="56">
      <c r="A56" s="1" t="s">
        <v>13</v>
      </c>
      <c r="B56" s="1" t="s">
        <v>187</v>
      </c>
      <c r="C56" s="2">
        <v>62679.0</v>
      </c>
      <c r="D56" s="1" t="s">
        <v>188</v>
      </c>
      <c r="G56" s="1" t="s">
        <v>16</v>
      </c>
      <c r="H56" s="1" t="s">
        <v>189</v>
      </c>
      <c r="I56" s="3" t="s">
        <v>18</v>
      </c>
      <c r="J56" s="4"/>
      <c r="K56" s="4"/>
      <c r="L56" s="2">
        <v>63305.0</v>
      </c>
      <c r="M56" s="1" t="s">
        <v>30</v>
      </c>
    </row>
    <row r="57">
      <c r="A57" s="1" t="s">
        <v>13</v>
      </c>
      <c r="B57" s="1" t="s">
        <v>190</v>
      </c>
      <c r="C57" s="2">
        <v>62678.0</v>
      </c>
      <c r="D57" s="1" t="s">
        <v>191</v>
      </c>
      <c r="G57" s="1" t="s">
        <v>16</v>
      </c>
      <c r="H57" s="4"/>
      <c r="I57" s="3" t="s">
        <v>18</v>
      </c>
      <c r="J57" s="4"/>
      <c r="K57" s="4"/>
      <c r="L57" s="2">
        <v>62442.0</v>
      </c>
      <c r="M57" s="1" t="s">
        <v>192</v>
      </c>
    </row>
    <row r="58">
      <c r="A58" s="1" t="s">
        <v>13</v>
      </c>
      <c r="B58" s="1" t="s">
        <v>193</v>
      </c>
      <c r="C58" s="2">
        <v>62677.0</v>
      </c>
      <c r="D58" s="1" t="s">
        <v>194</v>
      </c>
      <c r="G58" s="1" t="s">
        <v>16</v>
      </c>
      <c r="H58" s="4"/>
      <c r="I58" s="3" t="s">
        <v>18</v>
      </c>
      <c r="J58" s="4"/>
      <c r="K58" s="5" t="s">
        <v>195</v>
      </c>
      <c r="L58" s="2">
        <v>62580.0</v>
      </c>
      <c r="M58" s="1" t="s">
        <v>196</v>
      </c>
    </row>
    <row r="59">
      <c r="A59" s="1" t="s">
        <v>13</v>
      </c>
      <c r="B59" s="1" t="s">
        <v>197</v>
      </c>
      <c r="C59" s="2">
        <v>62675.0</v>
      </c>
      <c r="D59" s="1" t="s">
        <v>198</v>
      </c>
      <c r="G59" s="1" t="s">
        <v>16</v>
      </c>
      <c r="H59" s="1" t="s">
        <v>42</v>
      </c>
      <c r="I59" s="3" t="s">
        <v>18</v>
      </c>
      <c r="J59" s="2">
        <v>40.0</v>
      </c>
      <c r="K59" s="5" t="s">
        <v>199</v>
      </c>
      <c r="L59" s="2">
        <v>62580.0</v>
      </c>
      <c r="M59" s="1" t="s">
        <v>196</v>
      </c>
    </row>
    <row r="60">
      <c r="A60" s="1" t="s">
        <v>13</v>
      </c>
      <c r="B60" s="1" t="s">
        <v>200</v>
      </c>
      <c r="C60" s="2">
        <v>62674.0</v>
      </c>
      <c r="D60" s="1" t="s">
        <v>201</v>
      </c>
      <c r="G60" s="1" t="s">
        <v>16</v>
      </c>
      <c r="H60" s="4"/>
      <c r="I60" s="3" t="s">
        <v>18</v>
      </c>
      <c r="J60" s="4"/>
      <c r="K60" s="4"/>
      <c r="L60" s="2">
        <v>62483.0</v>
      </c>
      <c r="M60" s="1" t="s">
        <v>167</v>
      </c>
    </row>
    <row r="61">
      <c r="A61" s="1" t="s">
        <v>13</v>
      </c>
      <c r="B61" s="1" t="s">
        <v>202</v>
      </c>
      <c r="C61" s="2">
        <v>62673.0</v>
      </c>
      <c r="D61" s="1" t="s">
        <v>203</v>
      </c>
      <c r="G61" s="1" t="s">
        <v>16</v>
      </c>
      <c r="H61" s="4"/>
      <c r="I61" s="3" t="s">
        <v>18</v>
      </c>
      <c r="J61" s="4"/>
      <c r="K61" s="4"/>
      <c r="L61" s="2">
        <v>62483.0</v>
      </c>
      <c r="M61" s="1" t="s">
        <v>167</v>
      </c>
    </row>
    <row r="62">
      <c r="A62" s="1" t="s">
        <v>13</v>
      </c>
      <c r="B62" s="1" t="s">
        <v>204</v>
      </c>
      <c r="C62" s="2">
        <v>62671.0</v>
      </c>
      <c r="D62" s="1" t="s">
        <v>205</v>
      </c>
      <c r="G62" s="1" t="s">
        <v>16</v>
      </c>
      <c r="H62" s="1" t="s">
        <v>42</v>
      </c>
      <c r="I62" s="3" t="s">
        <v>18</v>
      </c>
      <c r="J62" s="2">
        <v>4.0</v>
      </c>
      <c r="K62" s="5" t="s">
        <v>206</v>
      </c>
      <c r="L62" s="2">
        <v>62483.0</v>
      </c>
      <c r="M62" s="1" t="s">
        <v>167</v>
      </c>
    </row>
    <row r="63">
      <c r="A63" s="1" t="s">
        <v>13</v>
      </c>
      <c r="B63" s="1" t="s">
        <v>207</v>
      </c>
      <c r="C63" s="2">
        <v>62670.0</v>
      </c>
      <c r="D63" s="1" t="s">
        <v>208</v>
      </c>
      <c r="G63" s="1" t="s">
        <v>16</v>
      </c>
      <c r="H63" s="1" t="s">
        <v>37</v>
      </c>
      <c r="I63" s="3" t="s">
        <v>18</v>
      </c>
      <c r="J63" s="2">
        <v>16.0</v>
      </c>
      <c r="K63" s="5" t="s">
        <v>209</v>
      </c>
      <c r="L63" s="2">
        <v>62483.0</v>
      </c>
      <c r="M63" s="1" t="s">
        <v>167</v>
      </c>
    </row>
    <row r="64">
      <c r="A64" s="1" t="s">
        <v>13</v>
      </c>
      <c r="B64" s="1" t="s">
        <v>210</v>
      </c>
      <c r="C64" s="2">
        <v>62669.0</v>
      </c>
      <c r="D64" s="1" t="s">
        <v>211</v>
      </c>
      <c r="G64" s="1" t="s">
        <v>16</v>
      </c>
      <c r="H64" s="1" t="s">
        <v>189</v>
      </c>
      <c r="I64" s="3" t="s">
        <v>18</v>
      </c>
      <c r="J64" s="4"/>
      <c r="K64" s="4"/>
      <c r="L64" s="2">
        <v>62483.0</v>
      </c>
      <c r="M64" s="1" t="s">
        <v>167</v>
      </c>
    </row>
    <row r="65">
      <c r="A65" s="1" t="s">
        <v>13</v>
      </c>
      <c r="B65" s="1" t="s">
        <v>212</v>
      </c>
      <c r="C65" s="2">
        <v>62668.0</v>
      </c>
      <c r="D65" s="1" t="s">
        <v>213</v>
      </c>
      <c r="G65" s="1" t="s">
        <v>16</v>
      </c>
      <c r="H65" s="4"/>
      <c r="I65" s="3" t="s">
        <v>18</v>
      </c>
      <c r="J65" s="4"/>
      <c r="K65" s="4"/>
      <c r="L65" s="2">
        <v>63309.0</v>
      </c>
      <c r="M65" s="1" t="s">
        <v>73</v>
      </c>
    </row>
    <row r="66">
      <c r="A66" s="1" t="s">
        <v>13</v>
      </c>
      <c r="B66" s="1" t="s">
        <v>214</v>
      </c>
      <c r="C66" s="2">
        <v>62667.0</v>
      </c>
      <c r="D66" s="1" t="s">
        <v>215</v>
      </c>
      <c r="G66" s="1" t="s">
        <v>16</v>
      </c>
      <c r="H66" s="4"/>
      <c r="I66" s="3" t="s">
        <v>18</v>
      </c>
      <c r="J66" s="4"/>
      <c r="K66" s="4"/>
      <c r="L66" s="2">
        <v>63309.0</v>
      </c>
      <c r="M66" s="1" t="s">
        <v>73</v>
      </c>
    </row>
    <row r="67">
      <c r="A67" s="1" t="s">
        <v>13</v>
      </c>
      <c r="B67" s="1" t="s">
        <v>216</v>
      </c>
      <c r="C67" s="2">
        <v>62666.0</v>
      </c>
      <c r="D67" s="1" t="s">
        <v>217</v>
      </c>
      <c r="G67" s="1" t="s">
        <v>16</v>
      </c>
      <c r="H67" s="4"/>
      <c r="I67" s="3" t="s">
        <v>18</v>
      </c>
      <c r="J67" s="4"/>
      <c r="K67" s="4"/>
      <c r="L67" s="2">
        <v>63309.0</v>
      </c>
      <c r="M67" s="1" t="s">
        <v>73</v>
      </c>
    </row>
    <row r="68">
      <c r="A68" s="1" t="s">
        <v>13</v>
      </c>
      <c r="B68" s="1" t="s">
        <v>218</v>
      </c>
      <c r="C68" s="2">
        <v>62665.0</v>
      </c>
      <c r="D68" s="1" t="s">
        <v>219</v>
      </c>
      <c r="G68" s="1" t="s">
        <v>16</v>
      </c>
      <c r="H68" s="4"/>
      <c r="I68" s="3" t="s">
        <v>18</v>
      </c>
      <c r="J68" s="4"/>
      <c r="K68" s="4"/>
      <c r="L68" s="2">
        <v>63309.0</v>
      </c>
      <c r="M68" s="1" t="s">
        <v>73</v>
      </c>
    </row>
    <row r="69">
      <c r="A69" s="1" t="s">
        <v>13</v>
      </c>
      <c r="B69" s="1" t="s">
        <v>220</v>
      </c>
      <c r="C69" s="2">
        <v>62664.0</v>
      </c>
      <c r="D69" s="1" t="s">
        <v>221</v>
      </c>
      <c r="G69" s="1" t="s">
        <v>16</v>
      </c>
      <c r="H69" s="4"/>
      <c r="I69" s="3" t="s">
        <v>18</v>
      </c>
      <c r="J69" s="2">
        <v>40.0</v>
      </c>
      <c r="K69" s="5" t="s">
        <v>222</v>
      </c>
      <c r="L69" s="2">
        <v>63309.0</v>
      </c>
      <c r="M69" s="1" t="s">
        <v>73</v>
      </c>
    </row>
    <row r="70">
      <c r="A70" s="1" t="s">
        <v>13</v>
      </c>
      <c r="B70" s="1" t="s">
        <v>223</v>
      </c>
      <c r="C70" s="2">
        <v>62659.0</v>
      </c>
      <c r="D70" s="1" t="s">
        <v>224</v>
      </c>
      <c r="G70" s="1" t="s">
        <v>16</v>
      </c>
      <c r="H70" s="4"/>
      <c r="I70" s="6">
        <v>45448.35763888889</v>
      </c>
      <c r="J70" s="4"/>
      <c r="K70" s="5" t="s">
        <v>225</v>
      </c>
      <c r="L70" s="4"/>
      <c r="M70" s="4"/>
    </row>
    <row r="71">
      <c r="A71" s="1" t="s">
        <v>13</v>
      </c>
      <c r="B71" s="1" t="s">
        <v>226</v>
      </c>
      <c r="C71" s="2">
        <v>62656.0</v>
      </c>
      <c r="D71" s="1" t="s">
        <v>227</v>
      </c>
      <c r="G71" s="1" t="s">
        <v>16</v>
      </c>
      <c r="H71" s="4"/>
      <c r="I71" s="3" t="s">
        <v>18</v>
      </c>
      <c r="J71" s="4"/>
      <c r="K71" s="5" t="s">
        <v>63</v>
      </c>
      <c r="L71" s="2">
        <v>62580.0</v>
      </c>
      <c r="M71" s="1" t="s">
        <v>196</v>
      </c>
    </row>
    <row r="72">
      <c r="A72" s="1" t="s">
        <v>13</v>
      </c>
      <c r="B72" s="1" t="s">
        <v>228</v>
      </c>
      <c r="C72" s="2">
        <v>62655.0</v>
      </c>
      <c r="D72" s="1" t="s">
        <v>229</v>
      </c>
      <c r="E72" s="4"/>
      <c r="F72" s="4"/>
      <c r="G72" s="1" t="s">
        <v>16</v>
      </c>
      <c r="H72" s="1" t="s">
        <v>66</v>
      </c>
      <c r="I72" s="3" t="s">
        <v>18</v>
      </c>
      <c r="J72" s="4"/>
      <c r="K72" s="4"/>
      <c r="L72" s="2">
        <v>63309.0</v>
      </c>
      <c r="M72" s="1" t="s">
        <v>73</v>
      </c>
    </row>
    <row r="73">
      <c r="A73" s="1" t="s">
        <v>13</v>
      </c>
      <c r="B73" s="1" t="s">
        <v>230</v>
      </c>
      <c r="C73" s="2">
        <v>62653.0</v>
      </c>
      <c r="D73" s="1" t="s">
        <v>231</v>
      </c>
      <c r="G73" s="1" t="s">
        <v>16</v>
      </c>
      <c r="H73" s="1" t="s">
        <v>232</v>
      </c>
      <c r="I73" s="3" t="s">
        <v>18</v>
      </c>
      <c r="J73" s="2">
        <v>8.0</v>
      </c>
      <c r="K73" s="5" t="s">
        <v>233</v>
      </c>
      <c r="L73" s="2">
        <v>62446.0</v>
      </c>
      <c r="M73" s="1" t="s">
        <v>234</v>
      </c>
    </row>
    <row r="74">
      <c r="A74" s="1" t="s">
        <v>13</v>
      </c>
      <c r="B74" s="1" t="s">
        <v>235</v>
      </c>
      <c r="C74" s="2">
        <v>62651.0</v>
      </c>
      <c r="D74" s="1" t="s">
        <v>236</v>
      </c>
      <c r="G74" s="1" t="s">
        <v>16</v>
      </c>
      <c r="H74" s="1" t="s">
        <v>232</v>
      </c>
      <c r="I74" s="6">
        <v>45447.38958333333</v>
      </c>
      <c r="J74" s="2">
        <v>16.0</v>
      </c>
      <c r="K74" s="5" t="s">
        <v>237</v>
      </c>
      <c r="L74" s="2">
        <v>62446.0</v>
      </c>
      <c r="M74" s="1" t="s">
        <v>234</v>
      </c>
    </row>
    <row r="75">
      <c r="A75" s="1" t="s">
        <v>13</v>
      </c>
      <c r="B75" s="1" t="s">
        <v>238</v>
      </c>
      <c r="C75" s="2">
        <v>62649.0</v>
      </c>
      <c r="D75" s="1" t="s">
        <v>239</v>
      </c>
      <c r="G75" s="1" t="s">
        <v>16</v>
      </c>
      <c r="H75" s="1" t="s">
        <v>232</v>
      </c>
      <c r="I75" s="6">
        <v>45447.38125</v>
      </c>
      <c r="J75" s="2">
        <v>16.0</v>
      </c>
      <c r="K75" s="5" t="s">
        <v>240</v>
      </c>
      <c r="L75" s="2">
        <v>62446.0</v>
      </c>
      <c r="M75" s="1" t="s">
        <v>234</v>
      </c>
    </row>
    <row r="76">
      <c r="A76" s="1" t="s">
        <v>13</v>
      </c>
      <c r="B76" s="1" t="s">
        <v>241</v>
      </c>
      <c r="C76" s="2">
        <v>62647.0</v>
      </c>
      <c r="D76" s="1" t="s">
        <v>242</v>
      </c>
      <c r="G76" s="1" t="s">
        <v>16</v>
      </c>
      <c r="H76" s="1" t="s">
        <v>232</v>
      </c>
      <c r="I76" s="3" t="s">
        <v>18</v>
      </c>
      <c r="J76" s="2">
        <v>12.0</v>
      </c>
      <c r="K76" s="5" t="s">
        <v>243</v>
      </c>
      <c r="L76" s="2">
        <v>62446.0</v>
      </c>
      <c r="M76" s="1" t="s">
        <v>234</v>
      </c>
    </row>
    <row r="77">
      <c r="A77" s="1" t="s">
        <v>13</v>
      </c>
      <c r="B77" s="1" t="s">
        <v>244</v>
      </c>
      <c r="C77" s="2">
        <v>62646.0</v>
      </c>
      <c r="D77" s="1" t="s">
        <v>245</v>
      </c>
      <c r="G77" s="1" t="s">
        <v>16</v>
      </c>
      <c r="H77" s="4"/>
      <c r="I77" s="3" t="s">
        <v>18</v>
      </c>
      <c r="J77" s="4"/>
      <c r="K77" s="5" t="s">
        <v>246</v>
      </c>
      <c r="L77" s="2">
        <v>63308.0</v>
      </c>
      <c r="M77" s="1" t="s">
        <v>22</v>
      </c>
    </row>
    <row r="78">
      <c r="A78" s="1" t="s">
        <v>13</v>
      </c>
      <c r="B78" s="1" t="s">
        <v>247</v>
      </c>
      <c r="C78" s="2">
        <v>62645.0</v>
      </c>
      <c r="D78" s="1" t="s">
        <v>248</v>
      </c>
      <c r="G78" s="1" t="s">
        <v>16</v>
      </c>
      <c r="H78" s="1" t="s">
        <v>232</v>
      </c>
      <c r="I78" s="3" t="s">
        <v>18</v>
      </c>
      <c r="J78" s="2">
        <v>8.0</v>
      </c>
      <c r="K78" s="1" t="s">
        <v>249</v>
      </c>
      <c r="L78" s="2">
        <v>62446.0</v>
      </c>
      <c r="M78" s="1" t="s">
        <v>234</v>
      </c>
    </row>
    <row r="79">
      <c r="A79" s="1" t="s">
        <v>13</v>
      </c>
      <c r="B79" s="1" t="s">
        <v>250</v>
      </c>
      <c r="C79" s="2">
        <v>62644.0</v>
      </c>
      <c r="D79" s="1" t="s">
        <v>251</v>
      </c>
      <c r="G79" s="1" t="s">
        <v>16</v>
      </c>
      <c r="H79" s="1" t="s">
        <v>189</v>
      </c>
      <c r="I79" s="3" t="s">
        <v>18</v>
      </c>
      <c r="J79" s="2">
        <v>2.0</v>
      </c>
      <c r="K79" s="5" t="s">
        <v>252</v>
      </c>
      <c r="L79" s="2">
        <v>62447.0</v>
      </c>
      <c r="M79" s="1" t="s">
        <v>253</v>
      </c>
    </row>
    <row r="80">
      <c r="A80" s="1" t="s">
        <v>13</v>
      </c>
      <c r="B80" s="1" t="s">
        <v>254</v>
      </c>
      <c r="C80" s="2">
        <v>62643.0</v>
      </c>
      <c r="D80" s="1" t="s">
        <v>255</v>
      </c>
      <c r="G80" s="1" t="s">
        <v>16</v>
      </c>
      <c r="H80" s="1" t="s">
        <v>37</v>
      </c>
      <c r="I80" s="3" t="s">
        <v>18</v>
      </c>
      <c r="J80" s="2">
        <v>8.0</v>
      </c>
      <c r="K80" s="5" t="s">
        <v>256</v>
      </c>
      <c r="L80" s="2">
        <v>62483.0</v>
      </c>
      <c r="M80" s="1" t="s">
        <v>167</v>
      </c>
    </row>
    <row r="81">
      <c r="A81" s="1" t="s">
        <v>13</v>
      </c>
      <c r="B81" s="1" t="s">
        <v>257</v>
      </c>
      <c r="C81" s="2">
        <v>62642.0</v>
      </c>
      <c r="D81" s="1" t="s">
        <v>258</v>
      </c>
      <c r="F81" s="4"/>
      <c r="G81" s="1" t="s">
        <v>16</v>
      </c>
      <c r="H81" s="1" t="s">
        <v>66</v>
      </c>
      <c r="I81" s="3" t="s">
        <v>18</v>
      </c>
      <c r="J81" s="2">
        <v>4.0</v>
      </c>
      <c r="K81" s="5" t="s">
        <v>259</v>
      </c>
      <c r="L81" s="2">
        <v>62483.0</v>
      </c>
      <c r="M81" s="1" t="s">
        <v>167</v>
      </c>
    </row>
    <row r="82">
      <c r="A82" s="1" t="s">
        <v>13</v>
      </c>
      <c r="B82" s="1" t="s">
        <v>260</v>
      </c>
      <c r="C82" s="2">
        <v>62641.0</v>
      </c>
      <c r="D82" s="1" t="s">
        <v>261</v>
      </c>
      <c r="G82" s="1" t="s">
        <v>16</v>
      </c>
      <c r="H82" s="1" t="s">
        <v>84</v>
      </c>
      <c r="I82" s="3" t="s">
        <v>18</v>
      </c>
      <c r="J82" s="4"/>
      <c r="K82" s="5" t="s">
        <v>262</v>
      </c>
      <c r="L82" s="2">
        <v>62450.0</v>
      </c>
      <c r="M82" s="1" t="s">
        <v>86</v>
      </c>
    </row>
    <row r="83">
      <c r="A83" s="1" t="s">
        <v>13</v>
      </c>
      <c r="B83" s="1" t="s">
        <v>263</v>
      </c>
      <c r="C83" s="2">
        <v>62640.0</v>
      </c>
      <c r="D83" s="1" t="s">
        <v>264</v>
      </c>
      <c r="G83" s="1" t="s">
        <v>16</v>
      </c>
      <c r="H83" s="4"/>
      <c r="I83" s="3" t="s">
        <v>18</v>
      </c>
      <c r="J83" s="4"/>
      <c r="K83" s="4"/>
      <c r="L83" s="2">
        <v>63308.0</v>
      </c>
      <c r="M83" s="1" t="s">
        <v>22</v>
      </c>
    </row>
    <row r="84">
      <c r="A84" s="1" t="s">
        <v>13</v>
      </c>
      <c r="B84" s="1" t="s">
        <v>265</v>
      </c>
      <c r="C84" s="2">
        <v>62639.0</v>
      </c>
      <c r="D84" s="1" t="s">
        <v>266</v>
      </c>
      <c r="G84" s="1" t="s">
        <v>16</v>
      </c>
      <c r="H84" s="1" t="s">
        <v>66</v>
      </c>
      <c r="I84" s="3" t="s">
        <v>18</v>
      </c>
      <c r="J84" s="2">
        <v>8.0</v>
      </c>
      <c r="K84" s="5" t="s">
        <v>267</v>
      </c>
      <c r="L84" s="2">
        <v>63307.0</v>
      </c>
      <c r="M84" s="1" t="s">
        <v>68</v>
      </c>
    </row>
    <row r="85">
      <c r="A85" s="1" t="s">
        <v>13</v>
      </c>
      <c r="B85" s="1" t="s">
        <v>268</v>
      </c>
      <c r="C85" s="2">
        <v>62638.0</v>
      </c>
      <c r="D85" s="1" t="s">
        <v>269</v>
      </c>
      <c r="G85" s="1" t="s">
        <v>16</v>
      </c>
      <c r="H85" s="1" t="s">
        <v>189</v>
      </c>
      <c r="I85" s="3" t="s">
        <v>18</v>
      </c>
      <c r="J85" s="2">
        <v>12.0</v>
      </c>
      <c r="K85" s="5" t="s">
        <v>270</v>
      </c>
      <c r="L85" s="2">
        <v>62446.0</v>
      </c>
      <c r="M85" s="1" t="s">
        <v>234</v>
      </c>
    </row>
    <row r="86">
      <c r="A86" s="1" t="s">
        <v>13</v>
      </c>
      <c r="B86" s="1" t="s">
        <v>271</v>
      </c>
      <c r="C86" s="2">
        <v>62632.0</v>
      </c>
      <c r="D86" s="1" t="s">
        <v>272</v>
      </c>
      <c r="G86" s="1" t="s">
        <v>16</v>
      </c>
      <c r="H86" s="1" t="s">
        <v>29</v>
      </c>
      <c r="I86" s="3" t="s">
        <v>18</v>
      </c>
      <c r="J86" s="2">
        <v>8.0</v>
      </c>
      <c r="K86" s="1" t="s">
        <v>273</v>
      </c>
      <c r="L86" s="2">
        <v>63306.0</v>
      </c>
      <c r="M86" s="1" t="s">
        <v>26</v>
      </c>
    </row>
    <row r="87">
      <c r="A87" s="1" t="s">
        <v>13</v>
      </c>
      <c r="B87" s="1" t="s">
        <v>274</v>
      </c>
      <c r="C87" s="2">
        <v>62631.0</v>
      </c>
      <c r="D87" s="1" t="s">
        <v>275</v>
      </c>
      <c r="G87" s="1" t="s">
        <v>16</v>
      </c>
      <c r="H87" s="1" t="s">
        <v>29</v>
      </c>
      <c r="I87" s="3" t="s">
        <v>18</v>
      </c>
      <c r="J87" s="2">
        <v>50.0</v>
      </c>
      <c r="K87" s="5" t="s">
        <v>276</v>
      </c>
      <c r="L87" s="2">
        <v>63306.0</v>
      </c>
      <c r="M87" s="1" t="s">
        <v>26</v>
      </c>
    </row>
    <row r="88">
      <c r="A88" s="1" t="s">
        <v>13</v>
      </c>
      <c r="B88" s="1" t="s">
        <v>277</v>
      </c>
      <c r="C88" s="2">
        <v>62630.0</v>
      </c>
      <c r="D88" s="1" t="s">
        <v>278</v>
      </c>
      <c r="G88" s="1" t="s">
        <v>16</v>
      </c>
      <c r="H88" s="4"/>
      <c r="I88" s="3" t="s">
        <v>18</v>
      </c>
      <c r="J88" s="4"/>
      <c r="K88" s="5" t="s">
        <v>279</v>
      </c>
      <c r="L88" s="2">
        <v>63305.0</v>
      </c>
      <c r="M88" s="1" t="s">
        <v>30</v>
      </c>
    </row>
    <row r="89">
      <c r="A89" s="1" t="s">
        <v>13</v>
      </c>
      <c r="B89" s="1" t="s">
        <v>280</v>
      </c>
      <c r="C89" s="2">
        <v>62629.0</v>
      </c>
      <c r="D89" s="1" t="s">
        <v>281</v>
      </c>
      <c r="G89" s="1" t="s">
        <v>16</v>
      </c>
      <c r="H89" s="4"/>
      <c r="I89" s="3" t="s">
        <v>18</v>
      </c>
      <c r="J89" s="4"/>
      <c r="K89" s="4"/>
      <c r="L89" s="2">
        <v>63305.0</v>
      </c>
      <c r="M89" s="1" t="s">
        <v>30</v>
      </c>
    </row>
    <row r="90">
      <c r="A90" s="1" t="s">
        <v>13</v>
      </c>
      <c r="B90" s="1" t="s">
        <v>282</v>
      </c>
      <c r="C90" s="2">
        <v>62626.0</v>
      </c>
      <c r="D90" s="1" t="s">
        <v>283</v>
      </c>
      <c r="G90" s="1" t="s">
        <v>16</v>
      </c>
      <c r="H90" s="1" t="s">
        <v>232</v>
      </c>
      <c r="I90" s="3" t="s">
        <v>18</v>
      </c>
      <c r="J90" s="2">
        <v>8.0</v>
      </c>
      <c r="K90" s="5" t="s">
        <v>284</v>
      </c>
      <c r="L90" s="2">
        <v>62446.0</v>
      </c>
      <c r="M90" s="1" t="s">
        <v>234</v>
      </c>
    </row>
    <row r="91">
      <c r="A91" s="1" t="s">
        <v>13</v>
      </c>
      <c r="B91" s="1" t="s">
        <v>285</v>
      </c>
      <c r="C91" s="2">
        <v>62601.0</v>
      </c>
      <c r="D91" s="1" t="s">
        <v>286</v>
      </c>
      <c r="G91" s="1" t="s">
        <v>16</v>
      </c>
      <c r="H91" s="1" t="s">
        <v>189</v>
      </c>
      <c r="I91" s="3" t="s">
        <v>18</v>
      </c>
      <c r="J91" s="4"/>
      <c r="K91" s="5" t="s">
        <v>287</v>
      </c>
      <c r="L91" s="2">
        <v>62444.0</v>
      </c>
      <c r="M91" s="1" t="s">
        <v>288</v>
      </c>
    </row>
    <row r="92">
      <c r="A92" s="1" t="s">
        <v>13</v>
      </c>
      <c r="B92" s="1" t="s">
        <v>289</v>
      </c>
      <c r="C92" s="2">
        <v>62600.0</v>
      </c>
      <c r="D92" s="1" t="s">
        <v>290</v>
      </c>
      <c r="G92" s="1" t="s">
        <v>16</v>
      </c>
      <c r="H92" s="1" t="s">
        <v>189</v>
      </c>
      <c r="I92" s="3" t="s">
        <v>18</v>
      </c>
      <c r="J92" s="4"/>
      <c r="K92" s="5" t="s">
        <v>291</v>
      </c>
      <c r="L92" s="2">
        <v>62444.0</v>
      </c>
      <c r="M92" s="1" t="s">
        <v>288</v>
      </c>
    </row>
    <row r="93">
      <c r="A93" s="1" t="s">
        <v>13</v>
      </c>
      <c r="B93" s="1" t="s">
        <v>292</v>
      </c>
      <c r="C93" s="2">
        <v>62593.0</v>
      </c>
      <c r="D93" s="1" t="s">
        <v>293</v>
      </c>
      <c r="G93" s="1" t="s">
        <v>16</v>
      </c>
      <c r="H93" s="1" t="s">
        <v>189</v>
      </c>
      <c r="I93" s="3" t="s">
        <v>18</v>
      </c>
      <c r="J93" s="4"/>
      <c r="K93" s="5" t="s">
        <v>294</v>
      </c>
      <c r="L93" s="2">
        <v>62442.0</v>
      </c>
      <c r="M93" s="1" t="s">
        <v>192</v>
      </c>
    </row>
    <row r="94">
      <c r="A94" s="1" t="s">
        <v>13</v>
      </c>
      <c r="B94" s="1" t="s">
        <v>295</v>
      </c>
      <c r="C94" s="2">
        <v>62592.0</v>
      </c>
      <c r="D94" s="1" t="s">
        <v>296</v>
      </c>
      <c r="G94" s="1" t="s">
        <v>16</v>
      </c>
      <c r="H94" s="1" t="s">
        <v>189</v>
      </c>
      <c r="I94" s="3" t="s">
        <v>18</v>
      </c>
      <c r="J94" s="4"/>
      <c r="K94" s="5" t="s">
        <v>297</v>
      </c>
      <c r="L94" s="2">
        <v>62442.0</v>
      </c>
      <c r="M94" s="1" t="s">
        <v>192</v>
      </c>
    </row>
    <row r="95">
      <c r="A95" s="1" t="s">
        <v>13</v>
      </c>
      <c r="B95" s="1" t="s">
        <v>298</v>
      </c>
      <c r="C95" s="2">
        <v>62591.0</v>
      </c>
      <c r="D95" s="1" t="s">
        <v>299</v>
      </c>
      <c r="G95" s="1" t="s">
        <v>16</v>
      </c>
      <c r="H95" s="1" t="s">
        <v>155</v>
      </c>
      <c r="I95" s="3" t="s">
        <v>18</v>
      </c>
      <c r="J95" s="2">
        <v>12.0</v>
      </c>
      <c r="K95" s="5" t="s">
        <v>300</v>
      </c>
      <c r="L95" s="2">
        <v>62444.0</v>
      </c>
      <c r="M95" s="1" t="s">
        <v>288</v>
      </c>
    </row>
    <row r="96">
      <c r="A96" s="1" t="s">
        <v>13</v>
      </c>
      <c r="B96" s="1" t="s">
        <v>301</v>
      </c>
      <c r="C96" s="2">
        <v>62588.0</v>
      </c>
      <c r="D96" s="1" t="s">
        <v>302</v>
      </c>
      <c r="G96" s="1" t="s">
        <v>16</v>
      </c>
      <c r="H96" s="1" t="s">
        <v>37</v>
      </c>
      <c r="I96" s="3" t="s">
        <v>18</v>
      </c>
      <c r="J96" s="2">
        <v>16.0</v>
      </c>
      <c r="K96" s="5" t="s">
        <v>303</v>
      </c>
      <c r="L96" s="2">
        <v>62483.0</v>
      </c>
      <c r="M96" s="1" t="s">
        <v>167</v>
      </c>
    </row>
    <row r="97">
      <c r="A97" s="1" t="s">
        <v>13</v>
      </c>
      <c r="B97" s="1" t="s">
        <v>304</v>
      </c>
      <c r="C97" s="2">
        <v>62587.0</v>
      </c>
      <c r="D97" s="1" t="s">
        <v>305</v>
      </c>
      <c r="G97" s="1" t="s">
        <v>16</v>
      </c>
      <c r="H97" s="1" t="s">
        <v>42</v>
      </c>
      <c r="I97" s="3" t="s">
        <v>18</v>
      </c>
      <c r="J97" s="2">
        <v>32.0</v>
      </c>
      <c r="K97" s="5" t="s">
        <v>306</v>
      </c>
      <c r="L97" s="2">
        <v>62580.0</v>
      </c>
      <c r="M97" s="1" t="s">
        <v>196</v>
      </c>
    </row>
    <row r="98">
      <c r="A98" s="1" t="s">
        <v>13</v>
      </c>
      <c r="B98" s="1" t="s">
        <v>307</v>
      </c>
      <c r="C98" s="2">
        <v>62586.0</v>
      </c>
      <c r="D98" s="1" t="s">
        <v>308</v>
      </c>
      <c r="G98" s="1" t="s">
        <v>16</v>
      </c>
      <c r="H98" s="1" t="s">
        <v>189</v>
      </c>
      <c r="I98" s="3" t="s">
        <v>18</v>
      </c>
      <c r="J98" s="4"/>
      <c r="K98" s="5" t="s">
        <v>309</v>
      </c>
      <c r="L98" s="2">
        <v>62483.0</v>
      </c>
      <c r="M98" s="1" t="s">
        <v>167</v>
      </c>
    </row>
    <row r="99">
      <c r="A99" s="1" t="s">
        <v>13</v>
      </c>
      <c r="B99" s="1" t="s">
        <v>310</v>
      </c>
      <c r="C99" s="2">
        <v>62585.0</v>
      </c>
      <c r="D99" s="1" t="s">
        <v>311</v>
      </c>
      <c r="G99" s="1" t="s">
        <v>16</v>
      </c>
      <c r="H99" s="1" t="s">
        <v>189</v>
      </c>
      <c r="I99" s="3" t="s">
        <v>18</v>
      </c>
      <c r="J99" s="4"/>
      <c r="K99" s="5" t="s">
        <v>312</v>
      </c>
      <c r="L99" s="2">
        <v>62483.0</v>
      </c>
      <c r="M99" s="1" t="s">
        <v>167</v>
      </c>
    </row>
    <row r="100">
      <c r="A100" s="1" t="s">
        <v>13</v>
      </c>
      <c r="B100" s="1" t="s">
        <v>313</v>
      </c>
      <c r="C100" s="2">
        <v>62582.0</v>
      </c>
      <c r="D100" s="1" t="s">
        <v>314</v>
      </c>
      <c r="G100" s="1" t="s">
        <v>16</v>
      </c>
      <c r="H100" s="1" t="s">
        <v>155</v>
      </c>
      <c r="I100" s="3" t="s">
        <v>18</v>
      </c>
      <c r="J100" s="2">
        <v>24.0</v>
      </c>
      <c r="K100" s="5" t="s">
        <v>315</v>
      </c>
      <c r="L100" s="2">
        <v>62442.0</v>
      </c>
      <c r="M100" s="1" t="s">
        <v>192</v>
      </c>
    </row>
    <row r="101">
      <c r="A101" s="1" t="s">
        <v>13</v>
      </c>
      <c r="B101" s="1" t="s">
        <v>316</v>
      </c>
      <c r="C101" s="2">
        <v>62581.0</v>
      </c>
      <c r="D101" s="1" t="s">
        <v>317</v>
      </c>
      <c r="G101" s="1" t="s">
        <v>16</v>
      </c>
      <c r="H101" s="4"/>
      <c r="I101" s="3" t="s">
        <v>18</v>
      </c>
      <c r="J101" s="4"/>
      <c r="K101" s="4"/>
      <c r="L101" s="2">
        <v>62449.0</v>
      </c>
      <c r="M101" s="1" t="s">
        <v>318</v>
      </c>
    </row>
    <row r="102">
      <c r="A102" s="1" t="s">
        <v>69</v>
      </c>
      <c r="B102" s="1" t="s">
        <v>319</v>
      </c>
      <c r="C102" s="2">
        <v>62580.0</v>
      </c>
      <c r="D102" s="1" t="s">
        <v>196</v>
      </c>
      <c r="F102" s="4"/>
      <c r="G102" s="1" t="s">
        <v>16</v>
      </c>
      <c r="H102" s="4"/>
      <c r="I102" s="3" t="s">
        <v>18</v>
      </c>
      <c r="J102" s="4"/>
      <c r="K102" s="4"/>
      <c r="L102" s="4"/>
      <c r="M102" s="4"/>
    </row>
    <row r="103">
      <c r="A103" s="1" t="s">
        <v>69</v>
      </c>
      <c r="B103" s="1" t="s">
        <v>320</v>
      </c>
      <c r="C103" s="2">
        <v>62579.0</v>
      </c>
      <c r="D103" s="1" t="s">
        <v>321</v>
      </c>
      <c r="F103" s="4"/>
      <c r="G103" s="1" t="s">
        <v>16</v>
      </c>
      <c r="H103" s="4"/>
      <c r="I103" s="3" t="s">
        <v>18</v>
      </c>
      <c r="J103" s="4"/>
      <c r="K103" s="4"/>
      <c r="L103" s="4"/>
      <c r="M103" s="4"/>
    </row>
    <row r="104">
      <c r="A104" s="1" t="s">
        <v>13</v>
      </c>
      <c r="B104" s="1" t="s">
        <v>322</v>
      </c>
      <c r="C104" s="2">
        <v>62576.0</v>
      </c>
      <c r="D104" s="1" t="s">
        <v>323</v>
      </c>
      <c r="G104" s="1" t="s">
        <v>16</v>
      </c>
      <c r="H104" s="4"/>
      <c r="I104" s="3" t="s">
        <v>18</v>
      </c>
      <c r="J104" s="4"/>
      <c r="K104" s="5" t="s">
        <v>324</v>
      </c>
      <c r="L104" s="2">
        <v>62580.0</v>
      </c>
      <c r="M104" s="1" t="s">
        <v>196</v>
      </c>
    </row>
    <row r="105">
      <c r="A105" s="1" t="s">
        <v>13</v>
      </c>
      <c r="B105" s="1" t="s">
        <v>325</v>
      </c>
      <c r="C105" s="2">
        <v>62574.0</v>
      </c>
      <c r="D105" s="1" t="s">
        <v>326</v>
      </c>
      <c r="G105" s="1" t="s">
        <v>16</v>
      </c>
      <c r="H105" s="4"/>
      <c r="I105" s="3" t="s">
        <v>18</v>
      </c>
      <c r="J105" s="4"/>
      <c r="K105" s="4"/>
      <c r="L105" s="2">
        <v>62565.0</v>
      </c>
      <c r="M105" s="1" t="s">
        <v>34</v>
      </c>
    </row>
    <row r="106">
      <c r="A106" s="1" t="s">
        <v>13</v>
      </c>
      <c r="B106" s="1" t="s">
        <v>327</v>
      </c>
      <c r="C106" s="2">
        <v>62573.0</v>
      </c>
      <c r="D106" s="1" t="s">
        <v>328</v>
      </c>
      <c r="G106" s="1" t="s">
        <v>16</v>
      </c>
      <c r="H106" s="4"/>
      <c r="I106" s="3" t="s">
        <v>18</v>
      </c>
      <c r="J106" s="4"/>
      <c r="K106" s="4"/>
      <c r="L106" s="2">
        <v>62565.0</v>
      </c>
      <c r="M106" s="1" t="s">
        <v>34</v>
      </c>
    </row>
    <row r="107">
      <c r="A107" s="1" t="s">
        <v>13</v>
      </c>
      <c r="B107" s="1" t="s">
        <v>329</v>
      </c>
      <c r="C107" s="2">
        <v>62572.0</v>
      </c>
      <c r="D107" s="1" t="s">
        <v>330</v>
      </c>
      <c r="G107" s="1" t="s">
        <v>16</v>
      </c>
      <c r="H107" s="4"/>
      <c r="I107" s="3" t="s">
        <v>18</v>
      </c>
      <c r="J107" s="4"/>
      <c r="K107" s="4"/>
      <c r="L107" s="2">
        <v>62565.0</v>
      </c>
      <c r="M107" s="1" t="s">
        <v>34</v>
      </c>
    </row>
    <row r="108">
      <c r="A108" s="1" t="s">
        <v>13</v>
      </c>
      <c r="B108" s="1" t="s">
        <v>331</v>
      </c>
      <c r="C108" s="2">
        <v>62571.0</v>
      </c>
      <c r="D108" s="1" t="s">
        <v>332</v>
      </c>
      <c r="G108" s="1" t="s">
        <v>16</v>
      </c>
      <c r="H108" s="4"/>
      <c r="I108" s="3" t="s">
        <v>18</v>
      </c>
      <c r="J108" s="4"/>
      <c r="K108" s="4"/>
      <c r="L108" s="2">
        <v>62565.0</v>
      </c>
      <c r="M108" s="1" t="s">
        <v>34</v>
      </c>
    </row>
    <row r="109">
      <c r="A109" s="1" t="s">
        <v>13</v>
      </c>
      <c r="B109" s="1" t="s">
        <v>333</v>
      </c>
      <c r="C109" s="2">
        <v>62570.0</v>
      </c>
      <c r="D109" s="1" t="s">
        <v>334</v>
      </c>
      <c r="G109" s="1" t="s">
        <v>16</v>
      </c>
      <c r="H109" s="4"/>
      <c r="I109" s="3" t="s">
        <v>18</v>
      </c>
      <c r="J109" s="4"/>
      <c r="K109" s="4"/>
      <c r="L109" s="2">
        <v>62565.0</v>
      </c>
      <c r="M109" s="1" t="s">
        <v>34</v>
      </c>
    </row>
    <row r="110">
      <c r="A110" s="1" t="s">
        <v>13</v>
      </c>
      <c r="B110" s="1" t="s">
        <v>335</v>
      </c>
      <c r="C110" s="2">
        <v>62569.0</v>
      </c>
      <c r="D110" s="1" t="s">
        <v>336</v>
      </c>
      <c r="G110" s="1" t="s">
        <v>16</v>
      </c>
      <c r="H110" s="4"/>
      <c r="I110" s="3" t="s">
        <v>18</v>
      </c>
      <c r="J110" s="4"/>
      <c r="K110" s="4"/>
      <c r="L110" s="2">
        <v>62565.0</v>
      </c>
      <c r="M110" s="1" t="s">
        <v>34</v>
      </c>
    </row>
    <row r="111">
      <c r="A111" s="1" t="s">
        <v>13</v>
      </c>
      <c r="B111" s="1" t="s">
        <v>337</v>
      </c>
      <c r="C111" s="2">
        <v>62568.0</v>
      </c>
      <c r="D111" s="1" t="s">
        <v>338</v>
      </c>
      <c r="G111" s="1" t="s">
        <v>16</v>
      </c>
      <c r="H111" s="4"/>
      <c r="I111" s="3" t="s">
        <v>18</v>
      </c>
      <c r="J111" s="4"/>
      <c r="K111" s="4"/>
      <c r="L111" s="2">
        <v>62565.0</v>
      </c>
      <c r="M111" s="1" t="s">
        <v>34</v>
      </c>
    </row>
    <row r="112">
      <c r="A112" s="1" t="s">
        <v>13</v>
      </c>
      <c r="B112" s="1" t="s">
        <v>339</v>
      </c>
      <c r="C112" s="2">
        <v>62567.0</v>
      </c>
      <c r="D112" s="1" t="s">
        <v>340</v>
      </c>
      <c r="G112" s="1" t="s">
        <v>16</v>
      </c>
      <c r="H112" s="4"/>
      <c r="I112" s="3" t="s">
        <v>18</v>
      </c>
      <c r="J112" s="4"/>
      <c r="K112" s="4"/>
      <c r="L112" s="2">
        <v>62565.0</v>
      </c>
      <c r="M112" s="1" t="s">
        <v>34</v>
      </c>
    </row>
    <row r="113">
      <c r="A113" s="1" t="s">
        <v>13</v>
      </c>
      <c r="B113" s="1" t="s">
        <v>341</v>
      </c>
      <c r="C113" s="2">
        <v>62566.0</v>
      </c>
      <c r="D113" s="1" t="s">
        <v>342</v>
      </c>
      <c r="G113" s="1" t="s">
        <v>16</v>
      </c>
      <c r="H113" s="4"/>
      <c r="I113" s="3" t="s">
        <v>18</v>
      </c>
      <c r="J113" s="4"/>
      <c r="K113" s="4"/>
      <c r="L113" s="2">
        <v>62565.0</v>
      </c>
      <c r="M113" s="1" t="s">
        <v>34</v>
      </c>
    </row>
    <row r="114">
      <c r="A114" s="1" t="s">
        <v>69</v>
      </c>
      <c r="B114" s="1" t="s">
        <v>343</v>
      </c>
      <c r="C114" s="2">
        <v>62565.0</v>
      </c>
      <c r="D114" s="1" t="s">
        <v>34</v>
      </c>
      <c r="F114" s="4"/>
      <c r="G114" s="1" t="s">
        <v>16</v>
      </c>
      <c r="H114" s="4"/>
      <c r="I114" s="3" t="s">
        <v>18</v>
      </c>
      <c r="J114" s="4"/>
      <c r="K114" s="4"/>
      <c r="L114" s="4"/>
      <c r="M114" s="4"/>
    </row>
    <row r="115">
      <c r="A115" s="1" t="s">
        <v>13</v>
      </c>
      <c r="B115" s="1" t="s">
        <v>344</v>
      </c>
      <c r="C115" s="2">
        <v>62564.0</v>
      </c>
      <c r="D115" s="1" t="s">
        <v>345</v>
      </c>
      <c r="F115" s="4"/>
      <c r="G115" s="1" t="s">
        <v>16</v>
      </c>
      <c r="H115" s="1" t="s">
        <v>84</v>
      </c>
      <c r="I115" s="3" t="s">
        <v>18</v>
      </c>
      <c r="J115" s="2">
        <v>1.0</v>
      </c>
      <c r="K115" s="5" t="s">
        <v>346</v>
      </c>
      <c r="L115" s="2">
        <v>62450.0</v>
      </c>
      <c r="M115" s="1" t="s">
        <v>86</v>
      </c>
    </row>
    <row r="116">
      <c r="A116" s="1" t="s">
        <v>13</v>
      </c>
      <c r="B116" s="1" t="s">
        <v>347</v>
      </c>
      <c r="C116" s="2">
        <v>62562.0</v>
      </c>
      <c r="D116" s="1" t="s">
        <v>348</v>
      </c>
      <c r="G116" s="1" t="s">
        <v>16</v>
      </c>
      <c r="H116" s="1" t="s">
        <v>84</v>
      </c>
      <c r="I116" s="3" t="s">
        <v>18</v>
      </c>
      <c r="J116" s="2">
        <v>6.0</v>
      </c>
      <c r="K116" s="5" t="s">
        <v>349</v>
      </c>
      <c r="L116" s="2">
        <v>62450.0</v>
      </c>
      <c r="M116" s="1" t="s">
        <v>86</v>
      </c>
    </row>
    <row r="117">
      <c r="A117" s="1" t="s">
        <v>13</v>
      </c>
      <c r="B117" s="1" t="s">
        <v>350</v>
      </c>
      <c r="C117" s="2">
        <v>62561.0</v>
      </c>
      <c r="D117" s="1" t="s">
        <v>351</v>
      </c>
      <c r="F117" s="4"/>
      <c r="G117" s="1" t="s">
        <v>16</v>
      </c>
      <c r="H117" s="1" t="s">
        <v>84</v>
      </c>
      <c r="I117" s="3" t="s">
        <v>18</v>
      </c>
      <c r="J117" s="2">
        <v>1.0</v>
      </c>
      <c r="K117" s="5" t="s">
        <v>352</v>
      </c>
      <c r="L117" s="2">
        <v>62450.0</v>
      </c>
      <c r="M117" s="1" t="s">
        <v>86</v>
      </c>
    </row>
    <row r="118">
      <c r="A118" s="1" t="s">
        <v>13</v>
      </c>
      <c r="B118" s="1" t="s">
        <v>353</v>
      </c>
      <c r="C118" s="2">
        <v>62560.0</v>
      </c>
      <c r="D118" s="1" t="s">
        <v>354</v>
      </c>
      <c r="F118" s="4"/>
      <c r="G118" s="1" t="s">
        <v>16</v>
      </c>
      <c r="H118" s="1" t="s">
        <v>84</v>
      </c>
      <c r="I118" s="3" t="s">
        <v>18</v>
      </c>
      <c r="J118" s="2">
        <v>1.0</v>
      </c>
      <c r="K118" s="5" t="s">
        <v>355</v>
      </c>
      <c r="L118" s="2">
        <v>62450.0</v>
      </c>
      <c r="M118" s="1" t="s">
        <v>86</v>
      </c>
    </row>
    <row r="119">
      <c r="A119" s="1" t="s">
        <v>13</v>
      </c>
      <c r="B119" s="1" t="s">
        <v>356</v>
      </c>
      <c r="C119" s="2">
        <v>62559.0</v>
      </c>
      <c r="D119" s="1" t="s">
        <v>357</v>
      </c>
      <c r="G119" s="1" t="s">
        <v>16</v>
      </c>
      <c r="H119" s="1" t="s">
        <v>37</v>
      </c>
      <c r="I119" s="3" t="s">
        <v>18</v>
      </c>
      <c r="J119" s="2">
        <v>24.0</v>
      </c>
      <c r="K119" s="5" t="s">
        <v>358</v>
      </c>
      <c r="L119" s="2">
        <v>62483.0</v>
      </c>
      <c r="M119" s="1" t="s">
        <v>167</v>
      </c>
    </row>
    <row r="120">
      <c r="A120" s="1" t="s">
        <v>13</v>
      </c>
      <c r="B120" s="1" t="s">
        <v>359</v>
      </c>
      <c r="C120" s="2">
        <v>62558.0</v>
      </c>
      <c r="D120" s="1" t="s">
        <v>360</v>
      </c>
      <c r="F120" s="4"/>
      <c r="G120" s="1" t="s">
        <v>16</v>
      </c>
      <c r="H120" s="1" t="s">
        <v>84</v>
      </c>
      <c r="I120" s="3" t="s">
        <v>18</v>
      </c>
      <c r="J120" s="2">
        <v>2.0</v>
      </c>
      <c r="K120" s="5" t="s">
        <v>361</v>
      </c>
      <c r="L120" s="2">
        <v>62450.0</v>
      </c>
      <c r="M120" s="1" t="s">
        <v>86</v>
      </c>
    </row>
    <row r="121">
      <c r="A121" s="1" t="s">
        <v>13</v>
      </c>
      <c r="B121" s="1" t="s">
        <v>362</v>
      </c>
      <c r="C121" s="2">
        <v>62557.0</v>
      </c>
      <c r="D121" s="1" t="s">
        <v>363</v>
      </c>
      <c r="E121" s="4"/>
      <c r="F121" s="4"/>
      <c r="G121" s="1" t="s">
        <v>16</v>
      </c>
      <c r="H121" s="1" t="s">
        <v>84</v>
      </c>
      <c r="I121" s="3" t="s">
        <v>18</v>
      </c>
      <c r="J121" s="2">
        <v>1.0</v>
      </c>
      <c r="K121" s="5" t="s">
        <v>364</v>
      </c>
      <c r="L121" s="2">
        <v>62450.0</v>
      </c>
      <c r="M121" s="1" t="s">
        <v>86</v>
      </c>
    </row>
    <row r="122">
      <c r="A122" s="1" t="s">
        <v>13</v>
      </c>
      <c r="B122" s="1" t="s">
        <v>365</v>
      </c>
      <c r="C122" s="2">
        <v>62556.0</v>
      </c>
      <c r="D122" s="1" t="s">
        <v>366</v>
      </c>
      <c r="F122" s="4"/>
      <c r="G122" s="1" t="s">
        <v>16</v>
      </c>
      <c r="H122" s="1" t="s">
        <v>84</v>
      </c>
      <c r="I122" s="3" t="s">
        <v>18</v>
      </c>
      <c r="J122" s="2">
        <v>4.0</v>
      </c>
      <c r="K122" s="5" t="s">
        <v>367</v>
      </c>
      <c r="L122" s="2">
        <v>62450.0</v>
      </c>
      <c r="M122" s="1" t="s">
        <v>86</v>
      </c>
    </row>
    <row r="123">
      <c r="A123" s="1" t="s">
        <v>13</v>
      </c>
      <c r="B123" s="1" t="s">
        <v>368</v>
      </c>
      <c r="C123" s="2">
        <v>62555.0</v>
      </c>
      <c r="D123" s="1" t="s">
        <v>369</v>
      </c>
      <c r="F123" s="4"/>
      <c r="G123" s="1" t="s">
        <v>16</v>
      </c>
      <c r="H123" s="1" t="s">
        <v>84</v>
      </c>
      <c r="I123" s="3" t="s">
        <v>18</v>
      </c>
      <c r="J123" s="2">
        <v>4.0</v>
      </c>
      <c r="K123" s="5" t="s">
        <v>370</v>
      </c>
      <c r="L123" s="2">
        <v>62450.0</v>
      </c>
      <c r="M123" s="1" t="s">
        <v>86</v>
      </c>
    </row>
    <row r="124">
      <c r="A124" s="1" t="s">
        <v>13</v>
      </c>
      <c r="B124" s="1" t="s">
        <v>371</v>
      </c>
      <c r="C124" s="2">
        <v>62554.0</v>
      </c>
      <c r="D124" s="1" t="s">
        <v>372</v>
      </c>
      <c r="F124" s="4"/>
      <c r="G124" s="1" t="s">
        <v>16</v>
      </c>
      <c r="H124" s="1" t="s">
        <v>84</v>
      </c>
      <c r="I124" s="3" t="s">
        <v>18</v>
      </c>
      <c r="J124" s="2">
        <v>1.0</v>
      </c>
      <c r="K124" s="5" t="s">
        <v>373</v>
      </c>
      <c r="L124" s="2">
        <v>62450.0</v>
      </c>
      <c r="M124" s="1" t="s">
        <v>86</v>
      </c>
    </row>
    <row r="125">
      <c r="A125" s="1" t="s">
        <v>13</v>
      </c>
      <c r="B125" s="1" t="s">
        <v>374</v>
      </c>
      <c r="C125" s="2">
        <v>62553.0</v>
      </c>
      <c r="D125" s="1" t="s">
        <v>375</v>
      </c>
      <c r="G125" s="1" t="s">
        <v>16</v>
      </c>
      <c r="H125" s="1" t="s">
        <v>84</v>
      </c>
      <c r="I125" s="3" t="s">
        <v>18</v>
      </c>
      <c r="J125" s="2">
        <v>1.0</v>
      </c>
      <c r="K125" s="5" t="s">
        <v>376</v>
      </c>
      <c r="L125" s="2">
        <v>62450.0</v>
      </c>
      <c r="M125" s="1" t="s">
        <v>86</v>
      </c>
    </row>
    <row r="126">
      <c r="A126" s="1" t="s">
        <v>13</v>
      </c>
      <c r="B126" s="1" t="s">
        <v>377</v>
      </c>
      <c r="C126" s="2">
        <v>62542.0</v>
      </c>
      <c r="D126" s="1" t="s">
        <v>378</v>
      </c>
      <c r="G126" s="1" t="s">
        <v>16</v>
      </c>
      <c r="H126" s="1" t="s">
        <v>379</v>
      </c>
      <c r="I126" s="3" t="s">
        <v>18</v>
      </c>
      <c r="J126" s="2">
        <v>6.0</v>
      </c>
      <c r="K126" s="5" t="s">
        <v>380</v>
      </c>
      <c r="L126" s="2">
        <v>62449.0</v>
      </c>
      <c r="M126" s="1" t="s">
        <v>318</v>
      </c>
    </row>
    <row r="127">
      <c r="A127" s="1" t="s">
        <v>13</v>
      </c>
      <c r="B127" s="1" t="s">
        <v>381</v>
      </c>
      <c r="C127" s="2">
        <v>62541.0</v>
      </c>
      <c r="D127" s="1" t="s">
        <v>382</v>
      </c>
      <c r="G127" s="1" t="s">
        <v>16</v>
      </c>
      <c r="H127" s="1" t="s">
        <v>37</v>
      </c>
      <c r="I127" s="3" t="s">
        <v>18</v>
      </c>
      <c r="J127" s="2">
        <v>40.0</v>
      </c>
      <c r="K127" s="5" t="s">
        <v>383</v>
      </c>
      <c r="L127" s="2">
        <v>62447.0</v>
      </c>
      <c r="M127" s="1" t="s">
        <v>253</v>
      </c>
    </row>
    <row r="128">
      <c r="A128" s="1" t="s">
        <v>13</v>
      </c>
      <c r="B128" s="1" t="s">
        <v>384</v>
      </c>
      <c r="C128" s="2">
        <v>62539.0</v>
      </c>
      <c r="D128" s="1" t="s">
        <v>385</v>
      </c>
      <c r="F128" s="4"/>
      <c r="G128" s="1" t="s">
        <v>16</v>
      </c>
      <c r="H128" s="4"/>
      <c r="I128" s="3" t="s">
        <v>18</v>
      </c>
      <c r="J128" s="4"/>
      <c r="K128" s="1" t="s">
        <v>386</v>
      </c>
    </row>
    <row r="129">
      <c r="A129" s="1" t="s">
        <v>13</v>
      </c>
      <c r="B129" s="1" t="s">
        <v>387</v>
      </c>
      <c r="C129" s="2">
        <v>62538.0</v>
      </c>
      <c r="D129" s="1" t="s">
        <v>388</v>
      </c>
      <c r="G129" s="1" t="s">
        <v>16</v>
      </c>
      <c r="H129" s="1" t="s">
        <v>232</v>
      </c>
      <c r="I129" s="3" t="s">
        <v>18</v>
      </c>
      <c r="J129" s="2">
        <v>40.0</v>
      </c>
      <c r="K129" s="5" t="s">
        <v>389</v>
      </c>
      <c r="L129" s="2">
        <v>62446.0</v>
      </c>
      <c r="M129" s="1" t="s">
        <v>234</v>
      </c>
    </row>
    <row r="130">
      <c r="A130" s="1" t="s">
        <v>13</v>
      </c>
      <c r="B130" s="1" t="s">
        <v>390</v>
      </c>
      <c r="C130" s="2">
        <v>62537.0</v>
      </c>
      <c r="D130" s="1" t="s">
        <v>391</v>
      </c>
      <c r="G130" s="1" t="s">
        <v>16</v>
      </c>
      <c r="H130" s="1" t="s">
        <v>17</v>
      </c>
      <c r="I130" s="3" t="s">
        <v>18</v>
      </c>
      <c r="J130" s="2">
        <v>8.0</v>
      </c>
      <c r="K130" s="5" t="s">
        <v>392</v>
      </c>
      <c r="L130" s="2">
        <v>63305.0</v>
      </c>
      <c r="M130" s="1" t="s">
        <v>30</v>
      </c>
    </row>
    <row r="131">
      <c r="A131" s="1" t="s">
        <v>13</v>
      </c>
      <c r="B131" s="1" t="s">
        <v>393</v>
      </c>
      <c r="C131" s="2">
        <v>62536.0</v>
      </c>
      <c r="D131" s="1" t="s">
        <v>394</v>
      </c>
      <c r="G131" s="1" t="s">
        <v>16</v>
      </c>
      <c r="H131" s="1" t="s">
        <v>232</v>
      </c>
      <c r="I131" s="3" t="s">
        <v>18</v>
      </c>
      <c r="J131" s="2">
        <v>16.0</v>
      </c>
      <c r="K131" s="5" t="s">
        <v>395</v>
      </c>
      <c r="L131" s="2">
        <v>62477.0</v>
      </c>
      <c r="M131" s="1" t="s">
        <v>19</v>
      </c>
    </row>
    <row r="132">
      <c r="A132" s="1" t="s">
        <v>69</v>
      </c>
      <c r="B132" s="1" t="s">
        <v>396</v>
      </c>
      <c r="C132" s="2">
        <v>62483.0</v>
      </c>
      <c r="D132" s="1" t="s">
        <v>167</v>
      </c>
      <c r="E132" s="4"/>
      <c r="F132" s="4"/>
      <c r="G132" s="1" t="s">
        <v>16</v>
      </c>
      <c r="H132" s="4"/>
      <c r="I132" s="3" t="s">
        <v>18</v>
      </c>
      <c r="J132" s="4"/>
      <c r="K132" s="5" t="s">
        <v>397</v>
      </c>
      <c r="L132" s="4"/>
      <c r="M132" s="4"/>
    </row>
    <row r="133">
      <c r="A133" s="1" t="s">
        <v>69</v>
      </c>
      <c r="B133" s="1" t="s">
        <v>398</v>
      </c>
      <c r="C133" s="2">
        <v>62482.0</v>
      </c>
      <c r="D133" s="1" t="s">
        <v>39</v>
      </c>
      <c r="F133" s="4"/>
      <c r="G133" s="1" t="s">
        <v>16</v>
      </c>
      <c r="H133" s="4"/>
      <c r="I133" s="3" t="s">
        <v>18</v>
      </c>
      <c r="J133" s="4"/>
      <c r="K133" s="5" t="s">
        <v>399</v>
      </c>
      <c r="L133" s="4"/>
      <c r="M133" s="4"/>
    </row>
    <row r="134">
      <c r="A134" s="1" t="s">
        <v>69</v>
      </c>
      <c r="B134" s="1" t="s">
        <v>400</v>
      </c>
      <c r="C134" s="2">
        <v>62477.0</v>
      </c>
      <c r="D134" s="1" t="s">
        <v>19</v>
      </c>
      <c r="F134" s="4"/>
      <c r="G134" s="1" t="s">
        <v>16</v>
      </c>
      <c r="H134" s="4"/>
      <c r="I134" s="3" t="s">
        <v>18</v>
      </c>
      <c r="J134" s="4"/>
      <c r="K134" s="5" t="s">
        <v>401</v>
      </c>
      <c r="L134" s="4"/>
      <c r="M134" s="4"/>
    </row>
    <row r="135">
      <c r="A135" s="1" t="s">
        <v>13</v>
      </c>
      <c r="B135" s="1" t="s">
        <v>402</v>
      </c>
      <c r="C135" s="2">
        <v>62461.0</v>
      </c>
      <c r="D135" s="1" t="s">
        <v>403</v>
      </c>
      <c r="E135" s="1" t="s">
        <v>404</v>
      </c>
      <c r="F135" s="1" t="s">
        <v>405</v>
      </c>
      <c r="G135" s="1" t="s">
        <v>16</v>
      </c>
      <c r="H135" s="4"/>
      <c r="I135" s="3" t="s">
        <v>18</v>
      </c>
      <c r="J135" s="4"/>
      <c r="K135" s="1" t="s">
        <v>406</v>
      </c>
      <c r="L135" s="2">
        <v>62428.0</v>
      </c>
      <c r="M135" s="1" t="s">
        <v>173</v>
      </c>
    </row>
    <row r="136">
      <c r="A136" s="1" t="s">
        <v>13</v>
      </c>
      <c r="B136" s="1" t="s">
        <v>407</v>
      </c>
      <c r="C136" s="2">
        <v>62460.0</v>
      </c>
      <c r="D136" s="1" t="s">
        <v>408</v>
      </c>
      <c r="E136" s="1" t="s">
        <v>409</v>
      </c>
      <c r="F136" s="1" t="s">
        <v>410</v>
      </c>
      <c r="G136" s="1" t="s">
        <v>411</v>
      </c>
      <c r="H136" s="1" t="s">
        <v>412</v>
      </c>
      <c r="I136" s="3" t="s">
        <v>18</v>
      </c>
      <c r="J136" s="4"/>
      <c r="K136" s="5" t="s">
        <v>413</v>
      </c>
      <c r="L136" s="2">
        <v>62427.0</v>
      </c>
      <c r="M136" s="1" t="s">
        <v>414</v>
      </c>
    </row>
    <row r="137">
      <c r="A137" s="1" t="s">
        <v>13</v>
      </c>
      <c r="B137" s="1" t="s">
        <v>415</v>
      </c>
      <c r="C137" s="2">
        <v>62459.0</v>
      </c>
      <c r="D137" s="1" t="s">
        <v>416</v>
      </c>
      <c r="E137" s="1" t="s">
        <v>417</v>
      </c>
      <c r="F137" s="1" t="s">
        <v>418</v>
      </c>
      <c r="G137" s="1" t="s">
        <v>16</v>
      </c>
      <c r="H137" s="4"/>
      <c r="I137" s="3" t="s">
        <v>18</v>
      </c>
      <c r="J137" s="4"/>
      <c r="K137" s="5" t="s">
        <v>419</v>
      </c>
      <c r="L137" s="2">
        <v>62427.0</v>
      </c>
      <c r="M137" s="1" t="s">
        <v>414</v>
      </c>
    </row>
    <row r="138">
      <c r="A138" s="1" t="s">
        <v>13</v>
      </c>
      <c r="B138" s="1" t="s">
        <v>420</v>
      </c>
      <c r="C138" s="2">
        <v>62458.0</v>
      </c>
      <c r="D138" s="1" t="s">
        <v>421</v>
      </c>
      <c r="E138" s="4"/>
      <c r="F138" s="4"/>
      <c r="G138" s="1" t="s">
        <v>16</v>
      </c>
      <c r="H138" s="4"/>
      <c r="I138" s="3" t="s">
        <v>18</v>
      </c>
      <c r="J138" s="4"/>
      <c r="K138" s="4"/>
      <c r="L138" s="4"/>
      <c r="M138" s="4"/>
    </row>
    <row r="139">
      <c r="A139" s="1" t="s">
        <v>13</v>
      </c>
      <c r="B139" s="1" t="s">
        <v>422</v>
      </c>
      <c r="C139" s="2">
        <v>62457.0</v>
      </c>
      <c r="D139" s="1" t="s">
        <v>423</v>
      </c>
      <c r="E139" s="4"/>
      <c r="F139" s="4"/>
      <c r="G139" s="1" t="s">
        <v>411</v>
      </c>
      <c r="H139" s="1" t="s">
        <v>412</v>
      </c>
      <c r="I139" s="3" t="s">
        <v>18</v>
      </c>
      <c r="J139" s="4"/>
      <c r="K139" s="1" t="s">
        <v>424</v>
      </c>
      <c r="L139" s="2">
        <v>62427.0</v>
      </c>
      <c r="M139" s="1" t="s">
        <v>414</v>
      </c>
    </row>
    <row r="140">
      <c r="A140" s="1" t="s">
        <v>13</v>
      </c>
      <c r="B140" s="1" t="s">
        <v>425</v>
      </c>
      <c r="C140" s="2">
        <v>62456.0</v>
      </c>
      <c r="D140" s="1" t="s">
        <v>426</v>
      </c>
      <c r="F140" s="4"/>
      <c r="G140" s="1" t="s">
        <v>16</v>
      </c>
      <c r="H140" s="4"/>
      <c r="I140" s="3" t="s">
        <v>18</v>
      </c>
      <c r="J140" s="4"/>
      <c r="K140" s="5" t="s">
        <v>427</v>
      </c>
      <c r="L140" s="2">
        <v>62427.0</v>
      </c>
      <c r="M140" s="1" t="s">
        <v>414</v>
      </c>
    </row>
    <row r="141">
      <c r="A141" s="1" t="s">
        <v>69</v>
      </c>
      <c r="B141" s="1" t="s">
        <v>428</v>
      </c>
      <c r="C141" s="2">
        <v>62450.0</v>
      </c>
      <c r="D141" s="1" t="s">
        <v>86</v>
      </c>
      <c r="E141" s="1" t="s">
        <v>429</v>
      </c>
      <c r="F141" s="1" t="s">
        <v>430</v>
      </c>
      <c r="G141" s="1" t="s">
        <v>16</v>
      </c>
      <c r="H141" s="4"/>
      <c r="I141" s="3" t="s">
        <v>18</v>
      </c>
      <c r="J141" s="4"/>
      <c r="K141" s="5" t="s">
        <v>431</v>
      </c>
      <c r="L141" s="4"/>
      <c r="M141" s="4"/>
    </row>
    <row r="142">
      <c r="A142" s="1" t="s">
        <v>69</v>
      </c>
      <c r="B142" s="1" t="s">
        <v>432</v>
      </c>
      <c r="C142" s="2">
        <v>62449.0</v>
      </c>
      <c r="D142" s="1" t="s">
        <v>318</v>
      </c>
      <c r="G142" s="1" t="s">
        <v>16</v>
      </c>
      <c r="H142" s="4"/>
      <c r="I142" s="3" t="s">
        <v>18</v>
      </c>
      <c r="J142" s="4"/>
      <c r="K142" s="5" t="s">
        <v>433</v>
      </c>
      <c r="L142" s="4"/>
      <c r="M142" s="4"/>
    </row>
    <row r="143">
      <c r="A143" s="1" t="s">
        <v>13</v>
      </c>
      <c r="B143" s="1" t="s">
        <v>434</v>
      </c>
      <c r="C143" s="2">
        <v>62448.0</v>
      </c>
      <c r="D143" s="1" t="s">
        <v>253</v>
      </c>
      <c r="F143" s="4"/>
      <c r="G143" s="1" t="s">
        <v>16</v>
      </c>
      <c r="H143" s="4"/>
      <c r="I143" s="3" t="s">
        <v>18</v>
      </c>
      <c r="J143" s="4"/>
      <c r="K143" s="5" t="s">
        <v>435</v>
      </c>
      <c r="L143" s="2">
        <v>62428.0</v>
      </c>
      <c r="M143" s="1" t="s">
        <v>173</v>
      </c>
    </row>
    <row r="144">
      <c r="A144" s="1" t="s">
        <v>69</v>
      </c>
      <c r="B144" s="1" t="s">
        <v>436</v>
      </c>
      <c r="C144" s="2">
        <v>62447.0</v>
      </c>
      <c r="D144" s="1" t="s">
        <v>253</v>
      </c>
      <c r="F144" s="4"/>
      <c r="G144" s="1" t="s">
        <v>16</v>
      </c>
      <c r="H144" s="4"/>
      <c r="I144" s="3" t="s">
        <v>18</v>
      </c>
      <c r="J144" s="4"/>
      <c r="K144" s="5" t="s">
        <v>437</v>
      </c>
      <c r="L144" s="4"/>
      <c r="M144" s="4"/>
    </row>
    <row r="145">
      <c r="A145" s="1" t="s">
        <v>69</v>
      </c>
      <c r="B145" s="1" t="s">
        <v>438</v>
      </c>
      <c r="C145" s="2">
        <v>62446.0</v>
      </c>
      <c r="D145" s="1" t="s">
        <v>234</v>
      </c>
      <c r="F145" s="4"/>
      <c r="G145" s="1" t="s">
        <v>16</v>
      </c>
      <c r="H145" s="4"/>
      <c r="I145" s="3" t="s">
        <v>18</v>
      </c>
      <c r="J145" s="4"/>
      <c r="K145" s="5" t="s">
        <v>439</v>
      </c>
      <c r="L145" s="4"/>
      <c r="M145" s="4"/>
    </row>
    <row r="146">
      <c r="A146" s="1" t="s">
        <v>69</v>
      </c>
      <c r="B146" s="1" t="s">
        <v>440</v>
      </c>
      <c r="C146" s="2">
        <v>62445.0</v>
      </c>
      <c r="D146" s="1" t="s">
        <v>441</v>
      </c>
      <c r="E146" s="1" t="s">
        <v>77</v>
      </c>
      <c r="F146" s="1" t="s">
        <v>78</v>
      </c>
      <c r="G146" s="1" t="s">
        <v>16</v>
      </c>
      <c r="H146" s="4"/>
      <c r="I146" s="3" t="s">
        <v>18</v>
      </c>
      <c r="J146" s="4"/>
      <c r="K146" s="5" t="s">
        <v>442</v>
      </c>
      <c r="L146" s="4"/>
      <c r="M146" s="4"/>
    </row>
    <row r="147">
      <c r="A147" s="1" t="s">
        <v>69</v>
      </c>
      <c r="B147" s="1" t="s">
        <v>443</v>
      </c>
      <c r="C147" s="2">
        <v>62444.0</v>
      </c>
      <c r="D147" s="1" t="s">
        <v>288</v>
      </c>
      <c r="F147" s="4"/>
      <c r="G147" s="1" t="s">
        <v>16</v>
      </c>
      <c r="H147" s="4"/>
      <c r="I147" s="3" t="s">
        <v>18</v>
      </c>
      <c r="J147" s="4"/>
      <c r="K147" s="5" t="s">
        <v>444</v>
      </c>
      <c r="L147" s="4"/>
      <c r="M147" s="4"/>
    </row>
    <row r="148">
      <c r="A148" s="1" t="s">
        <v>13</v>
      </c>
      <c r="B148" s="1" t="s">
        <v>445</v>
      </c>
      <c r="C148" s="2">
        <v>62443.0</v>
      </c>
      <c r="D148" s="1" t="s">
        <v>446</v>
      </c>
      <c r="E148" s="4"/>
      <c r="F148" s="4"/>
      <c r="G148" s="1" t="s">
        <v>16</v>
      </c>
      <c r="H148" s="4"/>
      <c r="I148" s="3" t="s">
        <v>18</v>
      </c>
      <c r="J148" s="4"/>
      <c r="K148" s="4"/>
      <c r="L148" s="2">
        <v>62442.0</v>
      </c>
      <c r="M148" s="1" t="s">
        <v>192</v>
      </c>
    </row>
    <row r="149">
      <c r="A149" s="1" t="s">
        <v>69</v>
      </c>
      <c r="B149" s="1" t="s">
        <v>447</v>
      </c>
      <c r="C149" s="2">
        <v>62442.0</v>
      </c>
      <c r="D149" s="1" t="s">
        <v>192</v>
      </c>
      <c r="E149" s="4"/>
      <c r="F149" s="4"/>
      <c r="G149" s="1" t="s">
        <v>16</v>
      </c>
      <c r="H149" s="4"/>
      <c r="I149" s="3" t="s">
        <v>18</v>
      </c>
      <c r="J149" s="4"/>
      <c r="K149" s="5" t="s">
        <v>448</v>
      </c>
      <c r="L149" s="4"/>
      <c r="M149" s="4"/>
    </row>
    <row r="150">
      <c r="A150" s="1" t="s">
        <v>13</v>
      </c>
      <c r="B150" s="1" t="s">
        <v>449</v>
      </c>
      <c r="C150" s="2">
        <v>62441.0</v>
      </c>
      <c r="D150" s="1" t="s">
        <v>450</v>
      </c>
      <c r="F150" s="4"/>
      <c r="G150" s="1" t="s">
        <v>16</v>
      </c>
      <c r="H150" s="4"/>
      <c r="I150" s="3" t="s">
        <v>18</v>
      </c>
      <c r="J150" s="4"/>
      <c r="K150" s="5" t="s">
        <v>451</v>
      </c>
      <c r="L150" s="2">
        <v>62427.0</v>
      </c>
      <c r="M150" s="1" t="s">
        <v>414</v>
      </c>
    </row>
    <row r="151">
      <c r="A151" s="1" t="s">
        <v>69</v>
      </c>
      <c r="B151" s="1" t="s">
        <v>452</v>
      </c>
      <c r="C151" s="2">
        <v>62428.0</v>
      </c>
      <c r="D151" s="1" t="s">
        <v>173</v>
      </c>
      <c r="E151" s="4"/>
      <c r="F151" s="4"/>
      <c r="G151" s="1" t="s">
        <v>16</v>
      </c>
      <c r="H151" s="4"/>
      <c r="I151" s="3" t="s">
        <v>18</v>
      </c>
      <c r="J151" s="4"/>
      <c r="K151" s="5" t="s">
        <v>453</v>
      </c>
      <c r="L151" s="4"/>
      <c r="M151" s="4"/>
    </row>
    <row r="152">
      <c r="A152" s="1" t="s">
        <v>69</v>
      </c>
      <c r="B152" s="1" t="s">
        <v>454</v>
      </c>
      <c r="C152" s="2">
        <v>62427.0</v>
      </c>
      <c r="D152" s="1" t="s">
        <v>414</v>
      </c>
      <c r="F152" s="4"/>
      <c r="G152" s="1" t="s">
        <v>16</v>
      </c>
      <c r="H152" s="4"/>
      <c r="I152" s="3" t="s">
        <v>18</v>
      </c>
      <c r="J152" s="4"/>
      <c r="K152" s="1" t="s">
        <v>455</v>
      </c>
    </row>
  </sheetData>
  <mergeCells count="138">
    <mergeCell ref="D2:F2"/>
    <mergeCell ref="D3:F3"/>
    <mergeCell ref="D4:F4"/>
    <mergeCell ref="D5:F5"/>
    <mergeCell ref="D6:F6"/>
    <mergeCell ref="D7:F7"/>
    <mergeCell ref="K8:M8"/>
    <mergeCell ref="K9:M9"/>
    <mergeCell ref="D8:E8"/>
    <mergeCell ref="D9:F9"/>
    <mergeCell ref="D10:E10"/>
    <mergeCell ref="D11:E11"/>
    <mergeCell ref="D12:F12"/>
    <mergeCell ref="D13:F13"/>
    <mergeCell ref="D14:F14"/>
    <mergeCell ref="D15:F15"/>
    <mergeCell ref="D16:E16"/>
    <mergeCell ref="D18:E18"/>
    <mergeCell ref="D21:E21"/>
    <mergeCell ref="D22:F22"/>
    <mergeCell ref="D23:F23"/>
    <mergeCell ref="D24:F24"/>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D46:F46"/>
    <mergeCell ref="D47:F47"/>
    <mergeCell ref="D48:F48"/>
    <mergeCell ref="D49:F49"/>
    <mergeCell ref="D50:F50"/>
    <mergeCell ref="D51:F51"/>
    <mergeCell ref="D52:F52"/>
    <mergeCell ref="D53:F53"/>
    <mergeCell ref="D104:F104"/>
    <mergeCell ref="D105:F105"/>
    <mergeCell ref="D106:F106"/>
    <mergeCell ref="D107:F107"/>
    <mergeCell ref="D108:F108"/>
    <mergeCell ref="D109:F109"/>
    <mergeCell ref="D110:F110"/>
    <mergeCell ref="D111:F111"/>
    <mergeCell ref="D112:F112"/>
    <mergeCell ref="D113:F113"/>
    <mergeCell ref="D114:E114"/>
    <mergeCell ref="D115:E115"/>
    <mergeCell ref="D116:F116"/>
    <mergeCell ref="D117:E117"/>
    <mergeCell ref="D118:E118"/>
    <mergeCell ref="D119:F119"/>
    <mergeCell ref="D120:E120"/>
    <mergeCell ref="D122:E122"/>
    <mergeCell ref="D123:E123"/>
    <mergeCell ref="D124:E124"/>
    <mergeCell ref="D125:F125"/>
    <mergeCell ref="D126:F126"/>
    <mergeCell ref="D127:F127"/>
    <mergeCell ref="D128:E128"/>
    <mergeCell ref="K128:M128"/>
    <mergeCell ref="D129:F129"/>
    <mergeCell ref="D130:F130"/>
    <mergeCell ref="D131:F131"/>
    <mergeCell ref="D147:E147"/>
    <mergeCell ref="D150:E150"/>
    <mergeCell ref="D152:E152"/>
    <mergeCell ref="K152:M152"/>
    <mergeCell ref="D133:E133"/>
    <mergeCell ref="D134:E134"/>
    <mergeCell ref="D140:E140"/>
    <mergeCell ref="D142:F142"/>
    <mergeCell ref="D143:E143"/>
    <mergeCell ref="D144:E144"/>
    <mergeCell ref="D145:E145"/>
    <mergeCell ref="D54:F54"/>
    <mergeCell ref="D55:E55"/>
    <mergeCell ref="D56:F56"/>
    <mergeCell ref="D57:F57"/>
    <mergeCell ref="D58:F58"/>
    <mergeCell ref="D59:F59"/>
    <mergeCell ref="D60:F60"/>
    <mergeCell ref="D61:F61"/>
    <mergeCell ref="D62:F62"/>
    <mergeCell ref="D63:F63"/>
    <mergeCell ref="D64:F64"/>
    <mergeCell ref="D65:F65"/>
    <mergeCell ref="D66:F66"/>
    <mergeCell ref="D67:F67"/>
    <mergeCell ref="D68:F68"/>
    <mergeCell ref="D69:F69"/>
    <mergeCell ref="D70:F70"/>
    <mergeCell ref="D71:F71"/>
    <mergeCell ref="D73:F73"/>
    <mergeCell ref="D74:F74"/>
    <mergeCell ref="D75:F75"/>
    <mergeCell ref="D76:F76"/>
    <mergeCell ref="D77:F77"/>
    <mergeCell ref="D78:F78"/>
    <mergeCell ref="D79:F79"/>
    <mergeCell ref="D80:F80"/>
    <mergeCell ref="D81:E81"/>
    <mergeCell ref="D82:F82"/>
    <mergeCell ref="D83:F83"/>
    <mergeCell ref="D84:F84"/>
    <mergeCell ref="D85:F85"/>
    <mergeCell ref="D86:F86"/>
    <mergeCell ref="D87:F87"/>
    <mergeCell ref="D88:F88"/>
    <mergeCell ref="D89:F89"/>
    <mergeCell ref="D90:F90"/>
    <mergeCell ref="D91:F91"/>
    <mergeCell ref="D92:F92"/>
    <mergeCell ref="D93:F93"/>
    <mergeCell ref="D94:F94"/>
    <mergeCell ref="D95:F95"/>
    <mergeCell ref="D96:F96"/>
    <mergeCell ref="D97:F97"/>
    <mergeCell ref="D98:F98"/>
    <mergeCell ref="D99:F99"/>
    <mergeCell ref="D100:F100"/>
    <mergeCell ref="D101:F101"/>
    <mergeCell ref="D102:E102"/>
    <mergeCell ref="D103:E10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9.25"/>
  </cols>
  <sheetData>
    <row r="1"/>
    <row r="2"/>
    <row r="3"/>
    <row r="4"/>
    <row r="5"/>
    <row r="6"/>
    <row r="7"/>
    <row r="8"/>
    <row r="9"/>
    <row r="10"/>
    <row r="11"/>
    <row r="12"/>
    <row r="13"/>
    <row r="14"/>
    <row r="15"/>
    <row r="16"/>
    <row r="17"/>
    <row r="18"/>
    <row r="19"/>
    <row r="20"/>
    <row r="21"/>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3" max="3" width="15.25"/>
  </cols>
  <sheetData>
    <row r="1">
      <c r="A1" s="8" t="s">
        <v>458</v>
      </c>
    </row>
    <row r="2">
      <c r="A2" s="9" t="s">
        <v>459</v>
      </c>
    </row>
    <row r="3">
      <c r="A3" s="10" t="s">
        <v>12</v>
      </c>
      <c r="B3" s="10" t="s">
        <v>456</v>
      </c>
      <c r="C3" s="11" t="s">
        <v>460</v>
      </c>
      <c r="D3" s="11" t="s">
        <v>461</v>
      </c>
    </row>
    <row r="4">
      <c r="A4" s="11" t="s">
        <v>462</v>
      </c>
      <c r="B4" s="10">
        <v>128.0</v>
      </c>
      <c r="C4" s="12">
        <v>0.25</v>
      </c>
      <c r="D4" s="10">
        <f t="shared" ref="D4:D22" si="1">B4+(B4*C4)</f>
        <v>160</v>
      </c>
    </row>
    <row r="5">
      <c r="A5" s="10" t="s">
        <v>234</v>
      </c>
      <c r="B5" s="10">
        <v>120.0</v>
      </c>
      <c r="C5" s="12">
        <v>0.25</v>
      </c>
      <c r="D5" s="10">
        <f t="shared" si="1"/>
        <v>150</v>
      </c>
    </row>
    <row r="6">
      <c r="A6" s="10" t="s">
        <v>19</v>
      </c>
      <c r="B6" s="10">
        <v>32.0</v>
      </c>
      <c r="C6" s="12">
        <v>0.25</v>
      </c>
      <c r="D6" s="10">
        <f t="shared" si="1"/>
        <v>40</v>
      </c>
    </row>
    <row r="7">
      <c r="A7" s="10" t="s">
        <v>253</v>
      </c>
      <c r="B7" s="10">
        <v>42.0</v>
      </c>
      <c r="C7" s="12">
        <v>0.25</v>
      </c>
      <c r="D7" s="10">
        <f t="shared" si="1"/>
        <v>52.5</v>
      </c>
    </row>
    <row r="8">
      <c r="A8" s="10" t="s">
        <v>318</v>
      </c>
      <c r="B8" s="10">
        <v>6.0</v>
      </c>
      <c r="C8" s="12">
        <v>0.5</v>
      </c>
      <c r="D8" s="10">
        <f t="shared" si="1"/>
        <v>9</v>
      </c>
    </row>
    <row r="9">
      <c r="A9" s="10" t="s">
        <v>288</v>
      </c>
      <c r="B9" s="10">
        <v>12.0</v>
      </c>
      <c r="C9" s="12">
        <v>0.5</v>
      </c>
      <c r="D9" s="10">
        <f t="shared" si="1"/>
        <v>18</v>
      </c>
    </row>
    <row r="10">
      <c r="A10" s="10" t="s">
        <v>39</v>
      </c>
      <c r="B10" s="10">
        <v>18.0</v>
      </c>
      <c r="C10" s="12">
        <v>0.25</v>
      </c>
      <c r="D10" s="10">
        <f t="shared" si="1"/>
        <v>22.5</v>
      </c>
    </row>
    <row r="11">
      <c r="A11" s="10" t="s">
        <v>86</v>
      </c>
      <c r="B11" s="10">
        <v>101.0</v>
      </c>
      <c r="C11" s="12">
        <v>0.25</v>
      </c>
      <c r="D11" s="10">
        <f t="shared" si="1"/>
        <v>126.25</v>
      </c>
    </row>
    <row r="12">
      <c r="A12" s="10" t="s">
        <v>173</v>
      </c>
      <c r="B12" s="10">
        <v>0.0</v>
      </c>
      <c r="C12" s="12">
        <v>0.0</v>
      </c>
      <c r="D12" s="10">
        <f t="shared" si="1"/>
        <v>0</v>
      </c>
    </row>
    <row r="13">
      <c r="A13" s="10" t="s">
        <v>30</v>
      </c>
      <c r="B13" s="10">
        <v>104.0</v>
      </c>
      <c r="C13" s="12">
        <v>0.25</v>
      </c>
      <c r="D13" s="10">
        <f t="shared" si="1"/>
        <v>130</v>
      </c>
    </row>
    <row r="14">
      <c r="A14" s="10" t="s">
        <v>192</v>
      </c>
      <c r="B14" s="10">
        <v>24.0</v>
      </c>
      <c r="C14" s="12">
        <v>0.5</v>
      </c>
      <c r="D14" s="10">
        <f t="shared" si="1"/>
        <v>36</v>
      </c>
    </row>
    <row r="15">
      <c r="A15" s="10" t="s">
        <v>34</v>
      </c>
      <c r="B15" s="10">
        <v>90.0</v>
      </c>
      <c r="C15" s="12">
        <v>0.25</v>
      </c>
      <c r="D15" s="10">
        <f t="shared" si="1"/>
        <v>112.5</v>
      </c>
    </row>
    <row r="16">
      <c r="A16" s="10" t="s">
        <v>167</v>
      </c>
      <c r="B16" s="10">
        <v>72.0</v>
      </c>
      <c r="C16" s="12">
        <v>0.25</v>
      </c>
      <c r="D16" s="10">
        <f t="shared" si="1"/>
        <v>90</v>
      </c>
    </row>
    <row r="17">
      <c r="A17" s="10" t="s">
        <v>196</v>
      </c>
      <c r="B17" s="10">
        <v>72.0</v>
      </c>
      <c r="C17" s="12">
        <v>0.25</v>
      </c>
      <c r="D17" s="10">
        <f t="shared" si="1"/>
        <v>90</v>
      </c>
    </row>
    <row r="18">
      <c r="A18" s="10" t="s">
        <v>73</v>
      </c>
      <c r="B18" s="10">
        <v>40.0</v>
      </c>
      <c r="C18" s="12">
        <v>0.5</v>
      </c>
      <c r="D18" s="10">
        <f t="shared" si="1"/>
        <v>60</v>
      </c>
    </row>
    <row r="19">
      <c r="A19" s="10" t="s">
        <v>414</v>
      </c>
      <c r="B19" s="10">
        <v>0.0</v>
      </c>
      <c r="C19" s="12">
        <v>0.0</v>
      </c>
      <c r="D19" s="10">
        <f t="shared" si="1"/>
        <v>0</v>
      </c>
    </row>
    <row r="20">
      <c r="A20" s="10" t="s">
        <v>68</v>
      </c>
      <c r="B20" s="10">
        <v>14.0</v>
      </c>
      <c r="C20" s="12">
        <v>0.5</v>
      </c>
      <c r="D20" s="10">
        <f t="shared" si="1"/>
        <v>21</v>
      </c>
    </row>
    <row r="21">
      <c r="A21" s="10" t="s">
        <v>26</v>
      </c>
      <c r="B21" s="10">
        <v>90.0</v>
      </c>
      <c r="C21" s="12">
        <v>0.25</v>
      </c>
      <c r="D21" s="10">
        <f t="shared" si="1"/>
        <v>112.5</v>
      </c>
    </row>
    <row r="22">
      <c r="A22" s="10" t="s">
        <v>22</v>
      </c>
      <c r="B22" s="10">
        <v>40.0</v>
      </c>
      <c r="C22" s="12">
        <v>0.75</v>
      </c>
      <c r="D22" s="10">
        <f t="shared" si="1"/>
        <v>70</v>
      </c>
    </row>
    <row r="23">
      <c r="A23" s="13" t="s">
        <v>457</v>
      </c>
      <c r="B23" s="13">
        <v>1005.0</v>
      </c>
      <c r="C23" s="13"/>
      <c r="D23" s="13">
        <f>SUM(D4:D22)</f>
        <v>1300.25</v>
      </c>
    </row>
    <row r="24">
      <c r="A24" s="13"/>
      <c r="B24" s="13"/>
      <c r="C24" s="13"/>
      <c r="D24" s="14">
        <f>D23/8</f>
        <v>162.53125</v>
      </c>
    </row>
    <row r="26">
      <c r="A26" s="15"/>
      <c r="B26" s="16"/>
    </row>
    <row r="27">
      <c r="A27" s="17"/>
      <c r="B27" s="18"/>
    </row>
    <row r="28">
      <c r="A28" s="17"/>
      <c r="B28" s="18"/>
    </row>
    <row r="29">
      <c r="A29" s="17"/>
      <c r="B29" s="18"/>
    </row>
    <row r="30">
      <c r="A30" s="17"/>
      <c r="B30" s="18"/>
    </row>
    <row r="31">
      <c r="A31" s="17"/>
      <c r="B31" s="18"/>
    </row>
    <row r="32">
      <c r="A32" s="17"/>
      <c r="B32" s="18"/>
    </row>
    <row r="33">
      <c r="A33" s="17"/>
      <c r="B33" s="18"/>
    </row>
    <row r="34">
      <c r="A34" s="17"/>
      <c r="B34" s="18"/>
    </row>
    <row r="35">
      <c r="A35" s="17"/>
      <c r="B35" s="18"/>
    </row>
    <row r="36">
      <c r="A36" s="17"/>
      <c r="B36" s="18"/>
    </row>
    <row r="37">
      <c r="A37" s="17"/>
      <c r="B37" s="18"/>
    </row>
    <row r="38">
      <c r="A38" s="17"/>
      <c r="B38" s="18"/>
    </row>
    <row r="39">
      <c r="A39" s="17"/>
      <c r="B39" s="18"/>
    </row>
    <row r="40">
      <c r="A40" s="17"/>
      <c r="B40" s="18"/>
    </row>
    <row r="41">
      <c r="A41" s="19"/>
      <c r="B41" s="20"/>
    </row>
    <row r="42">
      <c r="A42" s="21"/>
      <c r="B42" s="22"/>
    </row>
  </sheetData>
  <drawing r:id="rId1"/>
  <tableParts count="1">
    <tablePart r:id="rId3"/>
  </tableParts>
</worksheet>
</file>